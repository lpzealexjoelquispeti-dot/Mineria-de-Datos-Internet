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2f208a91a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_LaPaz" sheetId="1" r:id="R495e0185dfa148b3"/>
    <x:sheet xmlns:r="http://schemas.openxmlformats.org/officeDocument/2006/relationships" name="Urbano_Rural" sheetId="2" r:id="R013c5ab0c4c940be"/>
    <x:sheet xmlns:r="http://schemas.openxmlformats.org/officeDocument/2006/relationships" name="Provincias" sheetId="3" r:id="Rc29c33e877c043e7"/>
    <x:sheet xmlns:r="http://schemas.openxmlformats.org/officeDocument/2006/relationships" name="Municipios" sheetId="4" r:id="Rd0929383c92c4650"/>
    <x:sheet xmlns:r="http://schemas.openxmlformats.org/officeDocument/2006/relationships" name="Diccionario" sheetId="5" r:id="R6824037eec62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cd2c42b554db5" /><Relationship Type="http://schemas.openxmlformats.org/officeDocument/2006/relationships/theme" Target="/xl/theme/theme1.xml" Id="R36a2650f3dff4708" /><Relationship Type="http://schemas.openxmlformats.org/officeDocument/2006/relationships/sharedStrings" Target="/xl/sharedStrings.xml" Id="R629d2e361bf84c40" /><Relationship Type="http://schemas.openxmlformats.org/officeDocument/2006/relationships/worksheet" Target="/xl/worksheets/sheet1.xml" Id="R495e0185dfa148b3" /><Relationship Type="http://schemas.openxmlformats.org/officeDocument/2006/relationships/worksheet" Target="/xl/worksheets/sheet2.xml" Id="R013c5ab0c4c940be" /><Relationship Type="http://schemas.openxmlformats.org/officeDocument/2006/relationships/worksheet" Target="/xl/worksheets/sheet3.xml" Id="Rc29c33e877c043e7" /><Relationship Type="http://schemas.openxmlformats.org/officeDocument/2006/relationships/worksheet" Target="/xl/worksheets/sheet4.xml" Id="Rd0929383c92c4650" /><Relationship Type="http://schemas.openxmlformats.org/officeDocument/2006/relationships/worksheet" Target="/xl/worksheets/sheet5.xml" Id="R6824037eec6242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40" hidden="0" customWidth="1"/>
    <x:col min="5" max="5" width="14" hidden="0" customWidth="1"/>
    <x:col min="6" max="6" width="14" hidden="0" customWidth="1"/>
  </x:cols>
  <x:sheetData>
    <x:row r="1" ht="26" customHeight="1">
      <x:c r="A1" s="26" t="str">
        <x:v>CENSO 2024 – INTERNET FIJO/MÓVIL EN EL DEPARTAMENTO DE LA PAZ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16" t="str">
        <x:v>Indicador de base</x:v>
      </x:c>
      <x:c r="B3" s="16" t="str">
        <x:v>Valor</x:v>
      </x:c>
      <x:c r="C3" s="27"/>
      <x:c r="D3" s="27"/>
      <x:c r="E3" s="27"/>
      <x:c r="F3" s="27"/>
    </x:row>
    <x:row r="4">
      <x:c r="A4" s="27" t="str">
        <x:v>Registros de La Paz en Vivienda_CPV-2024.csv</x:v>
      </x:c>
      <x:c r="B4" s="28" t="n">
        <x:v>1334496</x:v>
      </x:c>
      <x:c r="C4" s="27"/>
      <x:c r="D4" s="27"/>
      <x:c r="E4" s="27"/>
      <x:c r="F4" s="27"/>
    </x:row>
    <x:row r="5">
      <x:c r="A5" s="27" t="str">
        <x:v>Registros con información válida de internet</x:v>
      </x:c>
      <x:c r="B5" s="28" t="n">
        <x:v>1069838</x:v>
      </x:c>
      <x:c r="C5" s="27"/>
      <x:c r="D5" s="27"/>
      <x:c r="E5" s="27"/>
      <x:c r="F5" s="27"/>
    </x:row>
    <x:row r="6">
      <x:c r="A6" s="27" t="str">
        <x:v>Registros excluidos por campos de internet vacíos</x:v>
      </x:c>
      <x:c r="B6" s="28" t="n">
        <x:v>264658</x:v>
      </x:c>
      <x:c r="C6" s="27"/>
      <x:c r="D6" s="27"/>
      <x:c r="E6" s="27"/>
      <x:c r="F6" s="27"/>
    </x:row>
    <x:row r="7">
      <x:c r="A7" s="27"/>
      <x:c r="B7" s="27"/>
      <x:c r="C7" s="27"/>
      <x:c r="D7" s="27"/>
      <x:c r="E7" s="27"/>
      <x:c r="F7" s="27"/>
    </x:row>
    <x:row r="8">
      <x:c r="A8" s="16" t="str">
        <x:v>Métrica principal: Internet fijo o móvil (V19E_F)</x:v>
      </x:c>
      <x:c r="B8" s="16" t="str">
        <x:v>Cantidad</x:v>
      </x:c>
      <x:c r="C8" s="16" t="str">
        <x:v>% total válido</x:v>
      </x:c>
      <x:c r="D8" s="16" t="str">
        <x:v>Interpretación</x:v>
      </x:c>
      <x:c r="E8" s="27"/>
      <x:c r="F8" s="27"/>
    </x:row>
    <x:row r="9">
      <x:c r="A9" s="27" t="str">
        <x:v>Sí</x:v>
      </x:c>
      <x:c r="B9" s="28" t="n">
        <x:v>748401</x:v>
      </x:c>
      <x:c r="C9" s="29" t="n">
        <x:f>B9/$B$12</x:f>
        <x:v>0.6995460995029154</x:v>
      </x:c>
      <x:c r="D9" s="27" t="str">
        <x:v>Tiene al menos internet fijo o móvil</x:v>
      </x:c>
      <x:c r="E9" s="27"/>
      <x:c r="F9" s="27"/>
    </x:row>
    <x:row r="10">
      <x:c r="A10" s="27" t="str">
        <x:v>No</x:v>
      </x:c>
      <x:c r="B10" s="28" t="n">
        <x:v>290940</x:v>
      </x:c>
      <x:c r="C10" s="29" t="n">
        <x:f>B10/$B$12</x:f>
        <x:v>0.27194771544850715</x:v>
      </x:c>
      <x:c r="D10" s="27" t="str">
        <x:v>No tiene internet fijo ni móvil</x:v>
      </x:c>
      <x:c r="E10" s="27"/>
      <x:c r="F10" s="27"/>
    </x:row>
    <x:row r="11">
      <x:c r="A11" s="27" t="str">
        <x:v>Sin especificar</x:v>
      </x:c>
      <x:c r="B11" s="28" t="n">
        <x:v>30497</x:v>
      </x:c>
      <x:c r="C11" s="29" t="n">
        <x:f>B11/$B$12</x:f>
        <x:v>0.028506185048577447</x:v>
      </x:c>
      <x:c r="D11" s="27" t="str">
        <x:v>Respuesta no especificada</x:v>
      </x:c>
      <x:c r="E11" s="27"/>
      <x:c r="F11" s="27"/>
    </x:row>
    <x:row r="12">
      <x:c r="A12" s="27" t="str">
        <x:v>Total</x:v>
      </x:c>
      <x:c r="B12" s="28" t="n">
        <x:v>1069838</x:v>
      </x:c>
      <x:c r="C12" s="29" t="n">
        <x:v>1</x:v>
      </x:c>
      <x:c r="D12" s="27" t="str">
        <x:v>Base válida</x:v>
      </x:c>
      <x:c r="E12" s="27"/>
      <x:c r="F12" s="27"/>
    </x:row>
    <x:row r="13">
      <x:c r="A13" s="27"/>
      <x:c r="B13" s="27"/>
      <x:c r="C13" s="27"/>
      <x:c r="D13" s="27"/>
      <x:c r="E13" s="27"/>
      <x:c r="F13" s="27"/>
    </x:row>
    <x:row r="14">
      <x:c r="A14" s="16" t="str">
        <x:v>Comparación fijo vs móvil</x:v>
      </x:c>
      <x:c r="B14" s="16" t="str">
        <x:v>Cantidad</x:v>
      </x:c>
      <x:c r="C14" s="16" t="str">
        <x:v>% total válido</x:v>
      </x:c>
      <x:c r="D14" s="16" t="str">
        <x:v>Variable</x:v>
      </x:c>
      <x:c r="E14" s="27"/>
      <x:c r="F14" s="27"/>
    </x:row>
    <x:row r="15">
      <x:c r="A15" s="27" t="str">
        <x:v>Internet fijo: Sí</x:v>
      </x:c>
      <x:c r="B15" s="28" t="n">
        <x:v>362858</x:v>
      </x:c>
      <x:c r="C15" s="29" t="n">
        <x:f>B15/$B$21</x:f>
        <x:v>0.33917097728815016</x:v>
      </x:c>
      <x:c r="D15" s="27" t="str">
        <x:v>V19E_INETFIJO</x:v>
      </x:c>
      <x:c r="E15" s="27"/>
      <x:c r="F15" s="27"/>
    </x:row>
    <x:row r="16">
      <x:c r="A16" s="27" t="str">
        <x:v>Internet fijo: No</x:v>
      </x:c>
      <x:c r="B16" s="28" t="n">
        <x:v>676438</x:v>
      </x:c>
      <x:c r="C16" s="29" t="n">
        <x:f>B16/$B$21</x:f>
        <x:v>0.6322807752201736</x:v>
      </x:c>
      <x:c r="D16" s="27" t="str">
        <x:v>V19E_INETFIJO</x:v>
      </x:c>
      <x:c r="E16" s="27"/>
      <x:c r="F16" s="27"/>
    </x:row>
    <x:row r="17">
      <x:c r="A17" s="27" t="str">
        <x:v>Internet fijo: Sin especificar</x:v>
      </x:c>
      <x:c r="B17" s="28" t="n">
        <x:v>30542</x:v>
      </x:c>
      <x:c r="C17" s="29" t="n">
        <x:f>B17/$B$21</x:f>
        <x:v>0.02854824749167631</x:v>
      </x:c>
      <x:c r="D17" s="27" t="str">
        <x:v>V19E_INETFIJO</x:v>
      </x:c>
      <x:c r="E17" s="27"/>
      <x:c r="F17" s="27"/>
    </x:row>
    <x:row r="18">
      <x:c r="A18" s="27" t="str">
        <x:v>Internet móvil: Sí</x:v>
      </x:c>
      <x:c r="B18" s="28" t="n">
        <x:v>669213</x:v>
      </x:c>
      <x:c r="C18" s="29" t="n">
        <x:f>B18/$B$21</x:f>
        <x:v>0.6255274163004119</x:v>
      </x:c>
      <x:c r="D18" s="27" t="str">
        <x:v>V19F_INETMOVIL</x:v>
      </x:c>
      <x:c r="E18" s="27"/>
      <x:c r="F18" s="27"/>
    </x:row>
    <x:row r="19">
      <x:c r="A19" s="27" t="str">
        <x:v>Internet móvil: No</x:v>
      </x:c>
      <x:c r="B19" s="28" t="n">
        <x:v>370048</x:v>
      </x:c>
      <x:c r="C19" s="29" t="n">
        <x:f>B19/$B$21</x:f>
        <x:v>0.3458916209743905</x:v>
      </x:c>
      <x:c r="D19" s="27" t="str">
        <x:v>V19F_INETMOVIL</x:v>
      </x:c>
      <x:c r="E19" s="27"/>
      <x:c r="F19" s="27"/>
    </x:row>
    <x:row r="20">
      <x:c r="A20" s="27" t="str">
        <x:v>Internet móvil: Sin especificar</x:v>
      </x:c>
      <x:c r="B20" s="28" t="n">
        <x:v>30577</x:v>
      </x:c>
      <x:c r="C20" s="29" t="n">
        <x:f>B20/$B$21</x:f>
        <x:v>0.028580962725197646</x:v>
      </x:c>
      <x:c r="D20" s="27" t="str">
        <x:v>V19F_INETMOVIL</x:v>
      </x:c>
      <x:c r="E20" s="27"/>
      <x:c r="F20" s="27"/>
    </x:row>
    <x:row r="21">
      <x:c r="A21" s="27" t="str">
        <x:v>Total válido</x:v>
      </x:c>
      <x:c r="B21" s="28" t="n">
        <x:v>1069838</x:v>
      </x:c>
      <x:c r="C21" s="29" t="n">
        <x:v>1</x:v>
      </x:c>
      <x:c r="D21" s="27" t="str"/>
      <x:c r="E21" s="27"/>
      <x:c r="F21" s="27"/>
    </x:row>
    <x:row r="22">
      <x:c r="A22" s="27"/>
      <x:c r="B22" s="27"/>
      <x:c r="C22" s="27"/>
      <x:c r="D22" s="27"/>
      <x:c r="E22" s="27"/>
      <x:c r="F22" s="27"/>
    </x:row>
    <x:row r="23">
      <x:c r="A23" s="16" t="str">
        <x:v>Combinación de acceso</x:v>
      </x:c>
      <x:c r="B23" s="16" t="str">
        <x:v>Cantidad</x:v>
      </x:c>
      <x:c r="C23" s="16" t="str">
        <x:v>% total válido</x:v>
      </x:c>
      <x:c r="D23" s="27"/>
      <x:c r="E23" s="27"/>
      <x:c r="F23" s="27"/>
    </x:row>
    <x:row r="24">
      <x:c r="A24" s="27" t="str">
        <x:v>Tiene fijo y móvil</x:v>
      </x:c>
      <x:c r="B24" s="28" t="n">
        <x:v>283670</x:v>
      </x:c>
      <x:c r="C24" s="29" t="n">
        <x:f>B24/$B$29</x:f>
        <x:v>0.2651522940856466</x:v>
      </x:c>
      <x:c r="D24" s="27"/>
      <x:c r="E24" s="27"/>
      <x:c r="F24" s="27"/>
    </x:row>
    <x:row r="25">
      <x:c r="A25" s="27" t="str">
        <x:v>Solo internet fijo</x:v>
      </x:c>
      <x:c r="B25" s="28" t="n">
        <x:v>79188</x:v>
      </x:c>
      <x:c r="C25" s="29" t="n">
        <x:f>B25/$B$29</x:f>
        <x:v>0.07401868320250356</x:v>
      </x:c>
      <x:c r="D25" s="27"/>
      <x:c r="E25" s="27"/>
      <x:c r="F25" s="27"/>
    </x:row>
    <x:row r="26">
      <x:c r="A26" s="27" t="str">
        <x:v>Solo internet móvil</x:v>
      </x:c>
      <x:c r="B26" s="28" t="n">
        <x:v>385543</x:v>
      </x:c>
      <x:c r="C26" s="29" t="n">
        <x:f>B26/$B$29</x:f>
        <x:v>0.36037512221476525</x:v>
      </x:c>
      <x:c r="D26" s="27"/>
      <x:c r="E26" s="27"/>
      <x:c r="F26" s="27"/>
    </x:row>
    <x:row r="27">
      <x:c r="A27" s="27" t="str">
        <x:v>No tiene ninguno</x:v>
      </x:c>
      <x:c r="B27" s="28" t="n">
        <x:v>290815</x:v>
      </x:c>
      <x:c r="C27" s="29" t="n">
        <x:f>B27/$B$29</x:f>
        <x:v>0.2718308753287881</x:v>
      </x:c>
      <x:c r="D27" s="27"/>
      <x:c r="E27" s="27"/>
      <x:c r="F27" s="27"/>
    </x:row>
    <x:row r="28">
      <x:c r="A28" s="27" t="str">
        <x:v>Sin especificar / combinación incompleta</x:v>
      </x:c>
      <x:c r="B28" s="28" t="n">
        <x:v>30622</x:v>
      </x:c>
      <x:c r="C28" s="29" t="n">
        <x:f>B28/$B$29</x:f>
        <x:v>0.02862302516829651</x:v>
      </x:c>
      <x:c r="D28" s="27"/>
      <x:c r="E28" s="27"/>
      <x:c r="F28" s="27"/>
    </x:row>
    <x:row r="29">
      <x:c r="A29" s="27" t="str">
        <x:v>Total</x:v>
      </x:c>
      <x:c r="B29" s="28" t="n">
        <x:v>1069838</x:v>
      </x:c>
      <x:c r="C29" s="29" t="n">
        <x:v>1</x:v>
      </x:c>
      <x:c r="D29" s="27"/>
      <x:c r="E29" s="27"/>
      <x:c r="F29" s="27"/>
    </x:row>
    <x:row r="30">
      <x:c r="A30" s="27"/>
      <x:c r="B30" s="27"/>
      <x:c r="C30" s="27"/>
      <x:c r="D30" s="27"/>
      <x:c r="E30" s="27"/>
      <x:c r="F30" s="27"/>
    </x:row>
    <x:row r="31">
      <x:c r="A31" s="30" t="str">
        <x:v>Notas metodológicas</x:v>
      </x:c>
      <x:c r="B31" s="30" t="str"/>
      <x:c r="C31" s="30" t="str"/>
      <x:c r="D31" s="30" t="str"/>
      <x:c r="E31" s="30" t="str"/>
      <x:c r="F31" s="30" t="str"/>
    </x:row>
    <x:row r="32">
      <x:c r="A32" s="27" t="str">
        <x:v>Departamento</x:v>
      </x:c>
      <x:c r="B32" s="27" t="str">
        <x:v>Código 02 = La Paz</x:v>
      </x:c>
      <x:c r="C32" s="27" t="str"/>
      <x:c r="D32" s="27" t="str"/>
      <x:c r="E32" s="27" t="str"/>
      <x:c r="F32" s="27" t="str"/>
    </x:row>
    <x:row r="33">
      <x:c r="A33" s="27" t="str">
        <x:v>Códigos internet</x:v>
      </x:c>
      <x:c r="B33" s="27" t="str">
        <x:v>1 = Sí; 2 = No; 9 = Sin especificar</x:v>
      </x:c>
      <x:c r="C33" s="27" t="str"/>
      <x:c r="D33" s="27" t="str"/>
      <x:c r="E33" s="27" t="str"/>
      <x:c r="F33" s="27" t="str"/>
    </x:row>
    <x:row r="34">
      <x:c r="A34" s="27" t="str">
        <x:v>Fuente</x:v>
      </x:c>
      <x:c r="B34" s="27" t="str">
        <x:v>INE Bolivia – Censo de Población y Vivienda 2024, Vivienda_CPV-2024.csv</x:v>
      </x:c>
      <x:c r="C34" s="27" t="str"/>
      <x:c r="D34" s="27" t="str"/>
      <x:c r="E34" s="27" t="str"/>
      <x:c r="F34" s="27" t="str"/>
    </x:row>
  </x:sheetData>
  <x:mergeCells>
    <x:mergeCell ref="A1:F1"/>
    <x:mergeCell ref="A31:F31"/>
    <x:mergeCell ref="B32:F32"/>
    <x:mergeCell ref="B33:F33"/>
    <x:mergeCell ref="B34:F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6" customHeight="1">
      <x:c r="A1" s="26" t="str">
        <x:v>RESUMEN DE INTERNET POR ÁREA URBANA Y RURAL – LA PAZ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>
      <x:c r="A3" s="16" t="str">
        <x:v>Área</x:v>
      </x:c>
      <x:c r="B3" s="16" t="str">
        <x:v>Total válido</x:v>
      </x:c>
      <x:c r="C3" s="16" t="str">
        <x:v>Fijo Sí</x:v>
      </x:c>
      <x:c r="D3" s="16" t="str">
        <x:v>% Fijo</x:v>
      </x:c>
      <x:c r="E3" s="16" t="str">
        <x:v>Móvil Sí</x:v>
      </x:c>
      <x:c r="F3" s="16" t="str">
        <x:v>% Móvil</x:v>
      </x:c>
      <x:c r="G3" s="16" t="str">
        <x:v>Fijo o móvil Sí</x:v>
      </x:c>
      <x:c r="H3" s="16" t="str">
        <x:v>% con internet</x:v>
      </x:c>
      <x:c r="I3" s="16" t="str">
        <x:v>Sin fijo ni móvil</x:v>
      </x:c>
      <x:c r="J3" s="16" t="str">
        <x:v>% sin internet</x:v>
      </x:c>
      <x:c r="K3" s="16" t="str">
        <x:v>Sin especificar</x:v>
      </x:c>
    </x:row>
    <x:row r="4">
      <x:c r="A4" s="27" t="str">
        <x:v>Urbana</x:v>
      </x:c>
      <x:c r="B4" s="28" t="n">
        <x:v>664447</x:v>
      </x:c>
      <x:c r="C4" s="28" t="n">
        <x:v>352636</x:v>
      </x:c>
      <x:c r="D4" s="28" t="n">
        <x:f>C4/B4</x:f>
        <x:v>0.5307210356883243</x:v>
      </x:c>
      <x:c r="E4" s="28" t="n">
        <x:v>482470</x:v>
      </x:c>
      <x:c r="F4" s="28" t="n">
        <x:f>E4/B4</x:f>
        <x:v>0.7261226252808727</x:v>
      </x:c>
      <x:c r="G4" s="28" t="n">
        <x:v>558607</x:v>
      </x:c>
      <x:c r="H4" s="28" t="n">
        <x:f>G4/B4</x:f>
        <x:v>0.8407096427555546</x:v>
      </x:c>
      <x:c r="I4" s="28" t="n">
        <x:v>91874</x:v>
      </x:c>
      <x:c r="J4" s="28" t="n">
        <x:f>I4/B4</x:f>
        <x:v>0.13827137454153604</x:v>
      </x:c>
      <x:c r="K4" s="28" t="n">
        <x:v>13966</x:v>
      </x:c>
    </x:row>
    <x:row r="5">
      <x:c r="A5" s="27" t="str">
        <x:v>Rural</x:v>
      </x:c>
      <x:c r="B5" s="28" t="n">
        <x:v>405391</x:v>
      </x:c>
      <x:c r="C5" s="28" t="n">
        <x:v>10222</x:v>
      </x:c>
      <x:c r="D5" s="28" t="n">
        <x:f>C5/B5</x:f>
        <x:v>0.025215162645446</x:v>
      </x:c>
      <x:c r="E5" s="28" t="n">
        <x:v>186743</x:v>
      </x:c>
      <x:c r="F5" s="28" t="n">
        <x:f>E5/B5</x:f>
        <x:v>0.4606491017314149</x:v>
      </x:c>
      <x:c r="G5" s="28" t="n">
        <x:v>189794</x:v>
      </x:c>
      <x:c r="H5" s="28" t="n">
        <x:f>G5/B5</x:f>
        <x:v>0.46817516915767743</x:v>
      </x:c>
      <x:c r="I5" s="28" t="n">
        <x:v>199066</x:v>
      </x:c>
      <x:c r="J5" s="28" t="n">
        <x:f>I5/B5</x:f>
        <x:v>0.4910469152003868</x:v>
      </x:c>
      <x:c r="K5" s="28" t="n">
        <x:v>16531</x:v>
      </x:c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</x:row>
    <x:row r="7">
      <x:c r="A7" s="16" t="str">
        <x:v>Combinación por área</x:v>
      </x:c>
      <x:c r="B7" s="16" t="str">
        <x:v>Ambos</x:v>
      </x:c>
      <x:c r="C7" s="16" t="str">
        <x:v>Solo fijo</x:v>
      </x:c>
      <x:c r="D7" s="16" t="str">
        <x:v>Solo móvil</x:v>
      </x:c>
      <x:c r="E7" s="16" t="str">
        <x:v>Ninguno</x:v>
      </x:c>
      <x:c r="F7" s="16" t="str">
        <x:v>Sin especificar</x:v>
      </x:c>
      <x:c r="G7" s="27"/>
      <x:c r="H7" s="27"/>
      <x:c r="I7" s="27"/>
      <x:c r="J7" s="27"/>
      <x:c r="K7" s="27"/>
    </x:row>
    <x:row r="8">
      <x:c r="A8" s="27" t="str">
        <x:v>Urbana</x:v>
      </x:c>
      <x:c r="B8" s="28" t="n">
        <x:v>276499</x:v>
      </x:c>
      <x:c r="C8" s="28" t="n">
        <x:v>76137</x:v>
      </x:c>
      <x:c r="D8" s="28" t="n">
        <x:v>205971</x:v>
      </x:c>
      <x:c r="E8" s="28" t="n">
        <x:v>91839</x:v>
      </x:c>
      <x:c r="F8" s="28" t="n">
        <x:v>14001</x:v>
      </x:c>
      <x:c r="G8" s="27"/>
      <x:c r="H8" s="27"/>
      <x:c r="I8" s="27"/>
      <x:c r="J8" s="27"/>
      <x:c r="K8" s="27"/>
    </x:row>
    <x:row r="9">
      <x:c r="A9" s="27" t="str">
        <x:v>Rural</x:v>
      </x:c>
      <x:c r="B9" s="28" t="n">
        <x:v>7171</x:v>
      </x:c>
      <x:c r="C9" s="28" t="n">
        <x:v>3051</x:v>
      </x:c>
      <x:c r="D9" s="28" t="n">
        <x:v>179572</x:v>
      </x:c>
      <x:c r="E9" s="28" t="n">
        <x:v>198976</x:v>
      </x:c>
      <x:c r="F9" s="28" t="n">
        <x:v>16621</x:v>
      </x:c>
      <x:c r="G9" s="27"/>
      <x:c r="H9" s="27"/>
      <x:c r="I9" s="27"/>
      <x:c r="J9" s="27"/>
      <x:c r="K9" s="27"/>
    </x:row>
    <x:row r="10">
      <x:c r="A10" s="27" t="str">
        <x:v>Total</x:v>
      </x:c>
      <x:c r="B10" s="28" t="n">
        <x:v>283670</x:v>
      </x:c>
      <x:c r="C10" s="28" t="n">
        <x:v>79188</x:v>
      </x:c>
      <x:c r="D10" s="28" t="n">
        <x:v>385543</x:v>
      </x:c>
      <x:c r="E10" s="28" t="n">
        <x:v>290815</x:v>
      </x:c>
      <x:c r="F10" s="28" t="n">
        <x:v>30622</x:v>
      </x:c>
      <x:c r="G10" s="27"/>
      <x:c r="H10" s="27"/>
      <x:c r="I10" s="27"/>
      <x:c r="J10" s="27"/>
      <x:c r="K10" s="27"/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6" customHeight="1">
      <x:c r="A1" s="26" t="str">
        <x:v>DATOS PARA GRÁFICOS POR PROVINCIA – DEPARTAMENTO DE LA PAZ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>
      <x:c r="A3" s="16" t="str">
        <x:v>Código provincia</x:v>
      </x:c>
      <x:c r="B3" s="16" t="str">
        <x:v>Total válido</x:v>
      </x:c>
      <x:c r="C3" s="16" t="str">
        <x:v>Fijo Sí</x:v>
      </x:c>
      <x:c r="D3" s="16" t="str">
        <x:v>% Fijo</x:v>
      </x:c>
      <x:c r="E3" s="16" t="str">
        <x:v>Móvil Sí</x:v>
      </x:c>
      <x:c r="F3" s="16" t="str">
        <x:v>% Móvil</x:v>
      </x:c>
      <x:c r="G3" s="16" t="str">
        <x:v>Fijo o móvil Sí</x:v>
      </x:c>
      <x:c r="H3" s="16" t="str">
        <x:v>% con internet</x:v>
      </x:c>
      <x:c r="I3" s="16" t="str">
        <x:v>Sin fijo ni móvil</x:v>
      </x:c>
      <x:c r="J3" s="16" t="str">
        <x:v>% sin internet</x:v>
      </x:c>
      <x:c r="K3" s="16" t="str">
        <x:v>Sin especificar</x:v>
      </x:c>
    </x:row>
    <x:row r="4">
      <x:c r="A4" s="27" t="str">
        <x:v>01</x:v>
      </x:c>
      <x:c r="B4" s="28" t="n">
        <x:v>579560</x:v>
      </x:c>
      <x:c r="C4" s="28" t="n">
        <x:v>333109</x:v>
      </x:c>
      <x:c r="D4" s="28" t="n">
        <x:f>C4/B4</x:f>
        <x:v>0.5747618883290773</x:v>
      </x:c>
      <x:c r="E4" s="28" t="n">
        <x:v>425009</x:v>
      </x:c>
      <x:c r="F4" s="28" t="n">
        <x:f>E4/B4</x:f>
        <x:v>0.7333304575885154</x:v>
      </x:c>
      <x:c r="G4" s="28" t="n">
        <x:v>495795</x:v>
      </x:c>
      <x:c r="H4" s="28" t="n">
        <x:f>G4/B4</x:f>
        <x:v>0.8554679411967699</x:v>
      </x:c>
      <x:c r="I4" s="28" t="n">
        <x:v>72915</x:v>
      </x:c>
      <x:c r="J4" s="28" t="n">
        <x:f>I4/B4</x:f>
        <x:v>0.12581096003865</x:v>
      </x:c>
      <x:c r="K4" s="28" t="n">
        <x:v>10850</x:v>
      </x:c>
    </x:row>
    <x:row r="5">
      <x:c r="A5" s="27" t="str">
        <x:v>02</x:v>
      </x:c>
      <x:c r="B5" s="28" t="n">
        <x:v>38628</x:v>
      </x:c>
      <x:c r="C5" s="28" t="n">
        <x:v>1665</x:v>
      </x:c>
      <x:c r="D5" s="28" t="n">
        <x:f>C5/B5</x:f>
        <x:v>0.04310344827586207</x:v>
      </x:c>
      <x:c r="E5" s="28" t="n">
        <x:v>17004</x:v>
      </x:c>
      <x:c r="F5" s="28" t="n">
        <x:f>E5/B5</x:f>
        <x:v>0.44019881950916434</x:v>
      </x:c>
      <x:c r="G5" s="28" t="n">
        <x:v>17492</x:v>
      </x:c>
      <x:c r="H5" s="28" t="n">
        <x:f>G5/B5</x:f>
        <x:v>0.4528321424873149</x:v>
      </x:c>
      <x:c r="I5" s="28" t="n">
        <x:v>19533</x:v>
      </x:c>
      <x:c r="J5" s="28" t="n">
        <x:f>I5/B5</x:f>
        <x:v>0.5056694625660143</x:v>
      </x:c>
      <x:c r="K5" s="28" t="n">
        <x:v>1603</x:v>
      </x:c>
    </x:row>
    <x:row r="6">
      <x:c r="A6" s="27" t="str">
        <x:v>03</x:v>
      </x:c>
      <x:c r="B6" s="28" t="n">
        <x:v>25502</x:v>
      </x:c>
      <x:c r="C6" s="28" t="n">
        <x:v>269</x:v>
      </x:c>
      <x:c r="D6" s="28" t="n">
        <x:f>C6/B6</x:f>
        <x:v>0.010548192298643243</x:v>
      </x:c>
      <x:c r="E6" s="28" t="n">
        <x:v>10273</x:v>
      </x:c>
      <x:c r="F6" s="28" t="n">
        <x:f>E6/B6</x:f>
        <x:v>0.40283115049800017</x:v>
      </x:c>
      <x:c r="G6" s="28" t="n">
        <x:v>10351</x:v>
      </x:c>
      <x:c r="H6" s="28" t="n">
        <x:f>G6/B6</x:f>
        <x:v>0.40588973413849894</x:v>
      </x:c>
      <x:c r="I6" s="28" t="n">
        <x:v>13897</x:v>
      </x:c>
      <x:c r="J6" s="28" t="n">
        <x:f>I6/B6</x:f>
        <x:v>0.5449376519488668</x:v>
      </x:c>
      <x:c r="K6" s="28" t="n">
        <x:v>1254</x:v>
      </x:c>
    </x:row>
    <x:row r="7">
      <x:c r="A7" s="27" t="str">
        <x:v>04</x:v>
      </x:c>
      <x:c r="B7" s="28" t="n">
        <x:v>28325</x:v>
      </x:c>
      <x:c r="C7" s="28" t="n">
        <x:v>321</x:v>
      </x:c>
      <x:c r="D7" s="28" t="n">
        <x:f>C7/B7</x:f>
        <x:v>0.011332744924977935</x:v>
      </x:c>
      <x:c r="E7" s="28" t="n">
        <x:v>9906</x:v>
      </x:c>
      <x:c r="F7" s="28" t="n">
        <x:f>E7/B7</x:f>
        <x:v>0.3497263901147396</x:v>
      </x:c>
      <x:c r="G7" s="28" t="n">
        <x:v>10024</x:v>
      </x:c>
      <x:c r="H7" s="28" t="n">
        <x:f>G7/B7</x:f>
        <x:v>0.35389232127096204</x:v>
      </x:c>
      <x:c r="I7" s="28" t="n">
        <x:v>17168</x:v>
      </x:c>
      <x:c r="J7" s="28" t="n">
        <x:f>I7/B7</x:f>
        <x:v>0.6061076787290379</x:v>
      </x:c>
      <x:c r="K7" s="28" t="n">
        <x:v>1133</x:v>
      </x:c>
    </x:row>
    <x:row r="8">
      <x:c r="A8" s="27" t="str">
        <x:v>05</x:v>
      </x:c>
      <x:c r="B8" s="28" t="n">
        <x:v>12382</x:v>
      </x:c>
      <x:c r="C8" s="28" t="n">
        <x:v>147</x:v>
      </x:c>
      <x:c r="D8" s="28" t="n">
        <x:f>C8/B8</x:f>
        <x:v>0.011872072363107737</x:v>
      </x:c>
      <x:c r="E8" s="28" t="n">
        <x:v>3917</x:v>
      </x:c>
      <x:c r="F8" s="28" t="n">
        <x:f>E8/B8</x:f>
        <x:v>0.3163463091584558</x:v>
      </x:c>
      <x:c r="G8" s="28" t="n">
        <x:v>3979</x:v>
      </x:c>
      <x:c r="H8" s="28" t="n">
        <x:f>G8/B8</x:f>
        <x:v>0.3213535777741883</x:v>
      </x:c>
      <x:c r="I8" s="28" t="n">
        <x:v>7709</x:v>
      </x:c>
      <x:c r="J8" s="28" t="n">
        <x:f>I8/B8</x:f>
        <x:v>0.6225973186884187</x:v>
      </x:c>
      <x:c r="K8" s="28" t="n">
        <x:v>694</x:v>
      </x:c>
    </x:row>
    <x:row r="9">
      <x:c r="A9" s="27" t="str">
        <x:v>06</x:v>
      </x:c>
      <x:c r="B9" s="28" t="n">
        <x:v>39439</x:v>
      </x:c>
      <x:c r="C9" s="28" t="n">
        <x:v>1706</x:v>
      </x:c>
      <x:c r="D9" s="28" t="n">
        <x:f>C9/B9</x:f>
        <x:v>0.043256674864981366</x:v>
      </x:c>
      <x:c r="E9" s="28" t="n">
        <x:v>22619</x:v>
      </x:c>
      <x:c r="F9" s="28" t="n">
        <x:f>E9/B9</x:f>
        <x:v>0.5735185983417429</x:v>
      </x:c>
      <x:c r="G9" s="28" t="n">
        <x:v>23058</x:v>
      </x:c>
      <x:c r="H9" s="28" t="n">
        <x:f>G9/B9</x:f>
        <x:v>0.5846497122137986</x:v>
      </x:c>
      <x:c r="I9" s="28" t="n">
        <x:v>14717</x:v>
      </x:c>
      <x:c r="J9" s="28" t="n">
        <x:f>I9/B9</x:f>
        <x:v>0.3731585486447425</x:v>
      </x:c>
      <x:c r="K9" s="28" t="n">
        <x:v>1664</x:v>
      </x:c>
    </x:row>
    <x:row r="10">
      <x:c r="A10" s="27" t="str">
        <x:v>07</x:v>
      </x:c>
      <x:c r="B10" s="28" t="n">
        <x:v>9232</x:v>
      </x:c>
      <x:c r="C10" s="28" t="n">
        <x:v>232</x:v>
      </x:c>
      <x:c r="D10" s="28" t="n">
        <x:f>C10/B10</x:f>
        <x:v>0.02512998266897747</x:v>
      </x:c>
      <x:c r="E10" s="28" t="n">
        <x:v>4462</x:v>
      </x:c>
      <x:c r="F10" s="28" t="n">
        <x:f>E10/B10</x:f>
        <x:v>0.48331889081455803</x:v>
      </x:c>
      <x:c r="G10" s="28" t="n">
        <x:v>4547</x:v>
      </x:c>
      <x:c r="H10" s="28" t="n">
        <x:f>G10/B10</x:f>
        <x:v>0.4925259965337955</x:v>
      </x:c>
      <x:c r="I10" s="28" t="n">
        <x:v>4255</x:v>
      </x:c>
      <x:c r="J10" s="28" t="n">
        <x:f>I10/B10</x:f>
        <x:v>0.46089688041594457</x:v>
      </x:c>
      <x:c r="K10" s="28" t="n">
        <x:v>430</x:v>
      </x:c>
    </x:row>
    <x:row r="11">
      <x:c r="A11" s="27" t="str">
        <x:v>08</x:v>
      </x:c>
      <x:c r="B11" s="28" t="n">
        <x:v>64052</x:v>
      </x:c>
      <x:c r="C11" s="28" t="n">
        <x:v>11649</x:v>
      </x:c>
      <x:c r="D11" s="28" t="n">
        <x:f>C11/B11</x:f>
        <x:v>0.1818678573658902</x:v>
      </x:c>
      <x:c r="E11" s="28" t="n">
        <x:v>35895</x:v>
      </x:c>
      <x:c r="F11" s="28" t="n">
        <x:f>E11/B11</x:f>
        <x:v>0.5604040467120465</x:v>
      </x:c>
      <x:c r="G11" s="28" t="n">
        <x:v>39174</x:v>
      </x:c>
      <x:c r="H11" s="28" t="n">
        <x:f>G11/B11</x:f>
        <x:v>0.6115968275775933</x:v>
      </x:c>
      <x:c r="I11" s="28" t="n">
        <x:v>22719</x:v>
      </x:c>
      <x:c r="J11" s="28" t="n">
        <x:f>I11/B11</x:f>
        <x:v>0.35469618435021544</x:v>
      </x:c>
      <x:c r="K11" s="28" t="n">
        <x:v>2159</x:v>
      </x:c>
    </x:row>
    <x:row r="12">
      <x:c r="A12" s="27" t="str">
        <x:v>09</x:v>
      </x:c>
      <x:c r="B12" s="28" t="n">
        <x:v>21883</x:v>
      </x:c>
      <x:c r="C12" s="28" t="n">
        <x:v>229</x:v>
      </x:c>
      <x:c r="D12" s="28" t="n">
        <x:f>C12/B12</x:f>
        <x:v>0.010464744322076497</x:v>
      </x:c>
      <x:c r="E12" s="28" t="n">
        <x:v>10309</x:v>
      </x:c>
      <x:c r="F12" s="28" t="n">
        <x:f>E12/B12</x:f>
        <x:v>0.4710962847872778</x:v>
      </x:c>
      <x:c r="G12" s="28" t="n">
        <x:v>10403</x:v>
      </x:c>
      <x:c r="H12" s="28" t="n">
        <x:f>G12/B12</x:f>
        <x:v>0.47539185669240963</x:v>
      </x:c>
      <x:c r="I12" s="28" t="n">
        <x:v>10632</x:v>
      </x:c>
      <x:c r="J12" s="28" t="n">
        <x:f>I12/B12</x:f>
        <x:v>0.48585660101448613</x:v>
      </x:c>
      <x:c r="K12" s="28" t="n">
        <x:v>848</x:v>
      </x:c>
    </x:row>
    <x:row r="13">
      <x:c r="A13" s="27" t="str">
        <x:v>10</x:v>
      </x:c>
      <x:c r="B13" s="28" t="n">
        <x:v>30583</x:v>
      </x:c>
      <x:c r="C13" s="28" t="n">
        <x:v>1575</x:v>
      </x:c>
      <x:c r="D13" s="28" t="n">
        <x:f>C13/B13</x:f>
        <x:v>0.05149919890135042</x:v>
      </x:c>
      <x:c r="E13" s="28" t="n">
        <x:v>15093</x:v>
      </x:c>
      <x:c r="F13" s="28" t="n">
        <x:f>E13/B13</x:f>
        <x:v>0.49350946604322665</x:v>
      </x:c>
      <x:c r="G13" s="28" t="n">
        <x:v>15552</x:v>
      </x:c>
      <x:c r="H13" s="28" t="n">
        <x:f>G13/B13</x:f>
        <x:v>0.508517804008763</x:v>
      </x:c>
      <x:c r="I13" s="28" t="n">
        <x:v>13681</x:v>
      </x:c>
      <x:c r="J13" s="28" t="n">
        <x:f>I13/B13</x:f>
        <x:v>0.4473400255043652</x:v>
      </x:c>
      <x:c r="K13" s="28" t="n">
        <x:v>1350</x:v>
      </x:c>
    </x:row>
    <x:row r="14">
      <x:c r="A14" s="27" t="str">
        <x:v>11</x:v>
      </x:c>
      <x:c r="B14" s="28" t="n">
        <x:v>49680</x:v>
      </x:c>
      <x:c r="C14" s="28" t="n">
        <x:v>1856</x:v>
      </x:c>
      <x:c r="D14" s="28" t="n">
        <x:f>C14/B14</x:f>
        <x:v>0.03735909822866344</x:v>
      </x:c>
      <x:c r="E14" s="28" t="n">
        <x:v>27849</x:v>
      </x:c>
      <x:c r="F14" s="28" t="n">
        <x:f>E14/B14</x:f>
        <x:v>0.5605676328502416</x:v>
      </x:c>
      <x:c r="G14" s="28" t="n">
        <x:v>28334</x:v>
      </x:c>
      <x:c r="H14" s="28" t="n">
        <x:f>G14/B14</x:f>
        <x:v>0.5703301127214171</x:v>
      </x:c>
      <x:c r="I14" s="28" t="n">
        <x:v>19753</x:v>
      </x:c>
      <x:c r="J14" s="28" t="n">
        <x:f>I14/B14</x:f>
        <x:v>0.3976046698872786</x:v>
      </x:c>
      <x:c r="K14" s="28" t="n">
        <x:v>1593</x:v>
      </x:c>
    </x:row>
    <x:row r="15">
      <x:c r="A15" s="27" t="str">
        <x:v>12</x:v>
      </x:c>
      <x:c r="B15" s="28" t="n">
        <x:v>46763</x:v>
      </x:c>
      <x:c r="C15" s="28" t="n">
        <x:v>2843</x:v>
      </x:c>
      <x:c r="D15" s="28" t="n">
        <x:f>C15/B15</x:f>
        <x:v>0.06079592840493553</x:v>
      </x:c>
      <x:c r="E15" s="28" t="n">
        <x:v>22054</x:v>
      </x:c>
      <x:c r="F15" s="28" t="n">
        <x:f>E15/B15</x:f>
        <x:v>0.4716121720163377</x:v>
      </x:c>
      <x:c r="G15" s="28" t="n">
        <x:v>22937</x:v>
      </x:c>
      <x:c r="H15" s="28" t="n">
        <x:f>G15/B15</x:f>
        <x:v>0.4904946218163933</x:v>
      </x:c>
      <x:c r="I15" s="28" t="n">
        <x:v>21924</x:v>
      </x:c>
      <x:c r="J15" s="28" t="n">
        <x:f>I15/B15</x:f>
        <x:v>0.46883219639458545</x:v>
      </x:c>
      <x:c r="K15" s="28" t="n">
        <x:v>1902</x:v>
      </x:c>
    </x:row>
    <x:row r="16">
      <x:c r="A16" s="27" t="str">
        <x:v>13</x:v>
      </x:c>
      <x:c r="B16" s="28" t="n">
        <x:v>42289</x:v>
      </x:c>
      <x:c r="C16" s="28" t="n">
        <x:v>2409</x:v>
      </x:c>
      <x:c r="D16" s="28" t="n">
        <x:f>C16/B16</x:f>
        <x:v>0.05696516824706188</x:v>
      </x:c>
      <x:c r="E16" s="28" t="n">
        <x:v>20498</x:v>
      </x:c>
      <x:c r="F16" s="28" t="n">
        <x:f>E16/B16</x:f>
        <x:v>0.4847123365414174</x:v>
      </x:c>
      <x:c r="G16" s="28" t="n">
        <x:v>21216</x:v>
      </x:c>
      <x:c r="H16" s="28" t="n">
        <x:f>G16/B16</x:f>
        <x:v>0.5016907470027667</x:v>
      </x:c>
      <x:c r="I16" s="28" t="n">
        <x:v>19178</x:v>
      </x:c>
      <x:c r="J16" s="28" t="n">
        <x:f>I16/B16</x:f>
        <x:v>0.45349854572110954</x:v>
      </x:c>
      <x:c r="K16" s="28" t="n">
        <x:v>1895</x:v>
      </x:c>
    </x:row>
    <x:row r="17">
      <x:c r="A17" s="27" t="str">
        <x:v>14</x:v>
      </x:c>
      <x:c r="B17" s="28" t="n">
        <x:v>19289</x:v>
      </x:c>
      <x:c r="C17" s="28" t="n">
        <x:v>852</x:v>
      </x:c>
      <x:c r="D17" s="28" t="n">
        <x:f>C17/B17</x:f>
        <x:v>0.04417025247550417</x:v>
      </x:c>
      <x:c r="E17" s="28" t="n">
        <x:v>11309</x:v>
      </x:c>
      <x:c r="F17" s="28" t="n">
        <x:f>E17/B17</x:f>
        <x:v>0.5862927056871792</x:v>
      </x:c>
      <x:c r="G17" s="28" t="n">
        <x:v>11515</x:v>
      </x:c>
      <x:c r="H17" s="28" t="n">
        <x:f>G17/B17</x:f>
        <x:v>0.5969723676706932</x:v>
      </x:c>
      <x:c r="I17" s="28" t="n">
        <x:v>7118</x:v>
      </x:c>
      <x:c r="J17" s="28" t="n">
        <x:f>I17/B17</x:f>
        <x:v>0.3690186116439421</x:v>
      </x:c>
      <x:c r="K17" s="28" t="n">
        <x:v>656</x:v>
      </x:c>
    </x:row>
    <x:row r="18">
      <x:c r="A18" s="27" t="str">
        <x:v>15</x:v>
      </x:c>
      <x:c r="B18" s="28" t="n">
        <x:v>6155</x:v>
      </x:c>
      <x:c r="C18" s="28" t="n">
        <x:v>589</x:v>
      </x:c>
      <x:c r="D18" s="28" t="n">
        <x:f>C18/B18</x:f>
        <x:v>0.09569455727051178</x:v>
      </x:c>
      <x:c r="E18" s="28" t="n">
        <x:v>3259</x:v>
      </x:c>
      <x:c r="F18" s="28" t="n">
        <x:f>E18/B18</x:f>
        <x:v>0.5294882209585703</x:v>
      </x:c>
      <x:c r="G18" s="28" t="n">
        <x:v>3399</x:v>
      </x:c>
      <x:c r="H18" s="28" t="n">
        <x:f>G18/B18</x:f>
        <x:v>0.552233956133225</x:v>
      </x:c>
      <x:c r="I18" s="28" t="n">
        <x:v>2394</x:v>
      </x:c>
      <x:c r="J18" s="28" t="n">
        <x:f>I18/B18</x:f>
        <x:v>0.3889520714865963</x:v>
      </x:c>
      <x:c r="K18" s="28" t="n">
        <x:v>362</x:v>
      </x:c>
    </x:row>
    <x:row r="19">
      <x:c r="A19" s="27" t="str">
        <x:v>16</x:v>
      </x:c>
      <x:c r="B19" s="28" t="n">
        <x:v>6678</x:v>
      </x:c>
      <x:c r="C19" s="28" t="n">
        <x:v>128</x:v>
      </x:c>
      <x:c r="D19" s="28" t="n">
        <x:f>C19/B19</x:f>
        <x:v>0.01916741539383049</x:v>
      </x:c>
      <x:c r="E19" s="28" t="n">
        <x:v>2301</x:v>
      </x:c>
      <x:c r="F19" s="28" t="n">
        <x:f>E19/B19</x:f>
        <x:v>0.3445642407906559</x:v>
      </x:c>
      <x:c r="G19" s="28" t="n">
        <x:v>2351</x:v>
      </x:c>
      <x:c r="H19" s="28" t="n">
        <x:f>G19/B19</x:f>
        <x:v>0.3520515124288709</x:v>
      </x:c>
      <x:c r="I19" s="28" t="n">
        <x:v>4002</x:v>
      </x:c>
      <x:c r="J19" s="28" t="n">
        <x:f>I19/B19</x:f>
        <x:v>0.5992812219227314</x:v>
      </x:c>
      <x:c r="K19" s="28" t="n">
        <x:v>325</x:v>
      </x:c>
    </x:row>
    <x:row r="20">
      <x:c r="A20" s="27" t="str">
        <x:v>17</x:v>
      </x:c>
      <x:c r="B20" s="28" t="n">
        <x:v>11922</x:v>
      </x:c>
      <x:c r="C20" s="28" t="n">
        <x:v>989</x:v>
      </x:c>
      <x:c r="D20" s="28" t="n">
        <x:f>C20/B20</x:f>
        <x:v>0.08295587988592518</x:v>
      </x:c>
      <x:c r="E20" s="28" t="n">
        <x:v>5904</x:v>
      </x:c>
      <x:c r="F20" s="28" t="n">
        <x:f>E20/B20</x:f>
        <x:v>0.4952189229994967</x:v>
      </x:c>
      <x:c r="G20" s="28" t="n">
        <x:v>6173</x:v>
      </x:c>
      <x:c r="H20" s="28" t="n">
        <x:f>G20/B20</x:f>
        <x:v>0.5177822513001175</x:v>
      </x:c>
      <x:c r="I20" s="28" t="n">
        <x:v>5313</x:v>
      </x:c>
      <x:c r="J20" s="28" t="n">
        <x:f>I20/B20</x:f>
        <x:v>0.44564670357322594</x:v>
      </x:c>
      <x:c r="K20" s="28" t="n">
        <x:v>436</x:v>
      </x:c>
    </x:row>
    <x:row r="21">
      <x:c r="A21" s="27" t="str">
        <x:v>18</x:v>
      </x:c>
      <x:c r="B21" s="28" t="n">
        <x:v>7253</x:v>
      </x:c>
      <x:c r="C21" s="28" t="n">
        <x:v>68</x:v>
      </x:c>
      <x:c r="D21" s="28" t="n">
        <x:f>C21/B21</x:f>
        <x:v>0.009375430856197435</x:v>
      </x:c>
      <x:c r="E21" s="28" t="n">
        <x:v>3356</x:v>
      </x:c>
      <x:c r="F21" s="28" t="n">
        <x:f>E21/B21</x:f>
        <x:v>0.4627050875499793</x:v>
      </x:c>
      <x:c r="G21" s="28" t="n">
        <x:v>3386</x:v>
      </x:c>
      <x:c r="H21" s="28" t="n">
        <x:f>G21/B21</x:f>
        <x:v>0.46684130704536053</x:v>
      </x:c>
      <x:c r="I21" s="28" t="n">
        <x:v>3513</x:v>
      </x:c>
      <x:c r="J21" s="28" t="n">
        <x:f>I21/B21</x:f>
        <x:v>0.484351302909141</x:v>
      </x:c>
      <x:c r="K21" s="28" t="n">
        <x:v>354</x:v>
      </x:c>
    </x:row>
    <x:row r="22">
      <x:c r="A22" s="27" t="str">
        <x:v>19</x:v>
      </x:c>
      <x:c r="B22" s="28" t="n">
        <x:v>4651</x:v>
      </x:c>
      <x:c r="C22" s="28" t="n">
        <x:v>41</x:v>
      </x:c>
      <x:c r="D22" s="28" t="n">
        <x:f>C22/B22</x:f>
        <x:v>0.008815308535798753</x:v>
      </x:c>
      <x:c r="E22" s="28" t="n">
        <x:v>2072</x:v>
      </x:c>
      <x:c r="F22" s="28" t="n">
        <x:f>E22/B22</x:f>
        <x:v>0.4454955923457321</x:v>
      </x:c>
      <x:c r="G22" s="28" t="n">
        <x:v>2096</x:v>
      </x:c>
      <x:c r="H22" s="28" t="n">
        <x:f>G22/B22</x:f>
        <x:v>0.45065577295205334</x:v>
      </x:c>
      <x:c r="I22" s="28" t="n">
        <x:v>2387</x:v>
      </x:c>
      <x:c r="J22" s="28" t="n">
        <x:f>I22/B22</x:f>
        <x:v>0.5132229628036982</x:v>
      </x:c>
      <x:c r="K22" s="28" t="n">
        <x:v>168</x:v>
      </x:c>
    </x:row>
    <x:row r="23">
      <x:c r="A23" s="27" t="str">
        <x:v>20</x:v>
      </x:c>
      <x:c r="B23" s="28" t="n">
        <x:v>25572</x:v>
      </x:c>
      <x:c r="C23" s="28" t="n">
        <x:v>2181</x:v>
      </x:c>
      <x:c r="D23" s="28" t="n">
        <x:f>C23/B23</x:f>
        <x:v>0.0852885969028625</x:v>
      </x:c>
      <x:c r="E23" s="28" t="n">
        <x:v>16124</x:v>
      </x:c>
      <x:c r="F23" s="28" t="n">
        <x:f>E23/B23</x:f>
        <x:v>0.6305333959017676</x:v>
      </x:c>
      <x:c r="G23" s="28" t="n">
        <x:v>16619</x:v>
      </x:c>
      <x:c r="H23" s="28" t="n">
        <x:f>G23/B23</x:f>
        <x:v>0.6498905052401064</x:v>
      </x:c>
      <x:c r="I23" s="28" t="n">
        <x:v>8132</x:v>
      </x:c>
      <x:c r="J23" s="28" t="n">
        <x:f>I23/B23</x:f>
        <x:v>0.31800406694822464</x:v>
      </x:c>
      <x:c r="K23" s="28" t="n">
        <x:v>821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6" customHeight="1">
      <x:c r="A1" s="26" t="str">
        <x:v>DATOS PARA GRÁFICOS POR MUNICIPIO – DEPARTAMENTO DE LA PAZ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16" t="str">
        <x:v>Código geográfico</x:v>
      </x:c>
      <x:c r="B3" s="16" t="str">
        <x:v>Cód. provincia</x:v>
      </x:c>
      <x:c r="C3" s="16" t="str">
        <x:v>Cód. municipio</x:v>
      </x:c>
      <x:c r="D3" s="16" t="str">
        <x:v>Total válido</x:v>
      </x:c>
      <x:c r="E3" s="16" t="str">
        <x:v>Fijo Sí</x:v>
      </x:c>
      <x:c r="F3" s="16" t="str">
        <x:v>% Fijo</x:v>
      </x:c>
      <x:c r="G3" s="16" t="str">
        <x:v>Móvil Sí</x:v>
      </x:c>
      <x:c r="H3" s="16" t="str">
        <x:v>% Móvil</x:v>
      </x:c>
      <x:c r="I3" s="16" t="str">
        <x:v>Fijo o móvil Sí</x:v>
      </x:c>
      <x:c r="J3" s="16" t="str">
        <x:v>% con internet</x:v>
      </x:c>
      <x:c r="K3" s="16" t="str">
        <x:v>Sin fijo ni móvil</x:v>
      </x:c>
      <x:c r="L3" s="16" t="str">
        <x:v>% sin internet</x:v>
      </x:c>
      <x:c r="M3" s="16" t="str">
        <x:v>Sin especificar</x:v>
      </x:c>
    </x:row>
    <x:row r="4">
      <x:c r="A4" s="27" t="str">
        <x:v>02-01-01</x:v>
      </x:c>
      <x:c r="B4" s="27" t="str">
        <x:v>01</x:v>
      </x:c>
      <x:c r="C4" s="27" t="str">
        <x:v>01</x:v>
      </x:c>
      <x:c r="D4" s="28" t="n">
        <x:v>250931</x:v>
      </x:c>
      <x:c r="E4" s="28" t="n">
        <x:v>176179</x:v>
      </x:c>
      <x:c r="F4" s="28" t="n">
        <x:f>E4/D4</x:f>
        <x:v>0.7021013744814312</x:v>
      </x:c>
      <x:c r="G4" s="28" t="n">
        <x:v>195870</x:v>
      </x:c>
      <x:c r="H4" s="28" t="n">
        <x:f>G4/D4</x:f>
        <x:v>0.7805731456057642</x:v>
      </x:c>
      <x:c r="I4" s="28" t="n">
        <x:v>225425</x:v>
      </x:c>
      <x:c r="J4" s="28" t="n">
        <x:f>I4/D4</x:f>
        <x:v>0.8983545277387011</x:v>
      </x:c>
      <x:c r="K4" s="28" t="n">
        <x:v>21482</x:v>
      </x:c>
      <x:c r="L4" s="28" t="n">
        <x:f>K4/D4</x:f>
        <x:v>0.08560919137133316</x:v>
      </x:c>
      <x:c r="M4" s="28" t="n">
        <x:v>4024</x:v>
      </x:c>
    </x:row>
    <x:row r="5">
      <x:c r="A5" s="27" t="str">
        <x:v>02-01-02</x:v>
      </x:c>
      <x:c r="B5" s="27" t="str">
        <x:v>01</x:v>
      </x:c>
      <x:c r="C5" s="27" t="str">
        <x:v>02</x:v>
      </x:c>
      <x:c r="D5" s="28" t="n">
        <x:v>7585</x:v>
      </x:c>
      <x:c r="E5" s="28" t="n">
        <x:v>227</x:v>
      </x:c>
      <x:c r="F5" s="28" t="n">
        <x:f>E5/D5</x:f>
        <x:v>0.02992748846407383</x:v>
      </x:c>
      <x:c r="G5" s="28" t="n">
        <x:v>3880</x:v>
      </x:c>
      <x:c r="H5" s="28" t="n">
        <x:f>G5/D5</x:f>
        <x:v>0.5115359261700725</x:v>
      </x:c>
      <x:c r="I5" s="28" t="n">
        <x:v>3956</x:v>
      </x:c>
      <x:c r="J5" s="28" t="n">
        <x:f>I5/D5</x:f>
        <x:v>0.5215557020435069</x:v>
      </x:c>
      <x:c r="K5" s="28" t="n">
        <x:v>3325</x:v>
      </x:c>
      <x:c r="L5" s="28" t="n">
        <x:f>K5/D5</x:f>
        <x:v>0.43836519446275546</x:v>
      </x:c>
      <x:c r="M5" s="28" t="n">
        <x:v>304</x:v>
      </x:c>
    </x:row>
    <x:row r="6">
      <x:c r="A6" s="27" t="str">
        <x:v>02-01-03</x:v>
      </x:c>
      <x:c r="B6" s="27" t="str">
        <x:v>01</x:v>
      </x:c>
      <x:c r="C6" s="27" t="str">
        <x:v>03</x:v>
      </x:c>
      <x:c r="D6" s="28" t="n">
        <x:v>6849</x:v>
      </x:c>
      <x:c r="E6" s="28" t="n">
        <x:v>1775</x:v>
      </x:c>
      <x:c r="F6" s="28" t="n">
        <x:f>E6/D6</x:f>
        <x:v>0.2591619214483866</x:v>
      </x:c>
      <x:c r="G6" s="28" t="n">
        <x:v>4215</x:v>
      </x:c>
      <x:c r="H6" s="28" t="n">
        <x:f>G6/D6</x:f>
        <x:v>0.6154183092422252</x:v>
      </x:c>
      <x:c r="I6" s="28" t="n">
        <x:v>4600</x:v>
      </x:c>
      <x:c r="J6" s="28" t="n">
        <x:f>I6/D6</x:f>
        <x:v>0.671630895021171</x:v>
      </x:c>
      <x:c r="K6" s="28" t="n">
        <x:v>2083</x:v>
      </x:c>
      <x:c r="L6" s="28" t="n">
        <x:f>K6/D6</x:f>
        <x:v>0.3041319900715433</x:v>
      </x:c>
      <x:c r="M6" s="28" t="n">
        <x:v>166</x:v>
      </x:c>
    </x:row>
    <x:row r="7">
      <x:c r="A7" s="27" t="str">
        <x:v>02-01-04</x:v>
      </x:c>
      <x:c r="B7" s="27" t="str">
        <x:v>01</x:v>
      </x:c>
      <x:c r="C7" s="27" t="str">
        <x:v>04</x:v>
      </x:c>
      <x:c r="D7" s="28" t="n">
        <x:v>16297</x:v>
      </x:c>
      <x:c r="E7" s="28" t="n">
        <x:v>3257</x:v>
      </x:c>
      <x:c r="F7" s="28" t="n">
        <x:f>E7/D7</x:f>
        <x:v>0.1998527336319568</x:v>
      </x:c>
      <x:c r="G7" s="28" t="n">
        <x:v>10362</x:v>
      </x:c>
      <x:c r="H7" s="28" t="n">
        <x:f>G7/D7</x:f>
        <x:v>0.635822544026508</x:v>
      </x:c>
      <x:c r="I7" s="28" t="n">
        <x:v>11222</x:v>
      </x:c>
      <x:c r="J7" s="28" t="n">
        <x:f>I7/D7</x:f>
        <x:v>0.6885929925753206</x:v>
      </x:c>
      <x:c r="K7" s="28" t="n">
        <x:v>4419</x:v>
      </x:c>
      <x:c r="L7" s="28" t="n">
        <x:f>K7/D7</x:f>
        <x:v>0.27115420015953856</x:v>
      </x:c>
      <x:c r="M7" s="28" t="n">
        <x:v>656</x:v>
      </x:c>
    </x:row>
    <x:row r="8">
      <x:c r="A8" s="27" t="str">
        <x:v>02-01-05</x:v>
      </x:c>
      <x:c r="B8" s="27" t="str">
        <x:v>01</x:v>
      </x:c>
      <x:c r="C8" s="27" t="str">
        <x:v>05</x:v>
      </x:c>
      <x:c r="D8" s="28" t="n">
        <x:v>297898</x:v>
      </x:c>
      <x:c r="E8" s="28" t="n">
        <x:v>151671</x:v>
      </x:c>
      <x:c r="F8" s="28" t="n">
        <x:f>E8/D8</x:f>
        <x:v>0.5091373557392127</x:v>
      </x:c>
      <x:c r="G8" s="28" t="n">
        <x:v>210682</x:v>
      </x:c>
      <x:c r="H8" s="28" t="n">
        <x:f>G8/D8</x:f>
        <x:v>0.7072286487321163</x:v>
      </x:c>
      <x:c r="I8" s="28" t="n">
        <x:v>250592</x:v>
      </x:c>
      <x:c r="J8" s="28" t="n">
        <x:f>I8/D8</x:f>
        <x:v>0.8412006794271865</x:v>
      </x:c>
      <x:c r="K8" s="28" t="n">
        <x:v>41606</x:v>
      </x:c>
      <x:c r="L8" s="28" t="n">
        <x:f>K8/D8</x:f>
        <x:v>0.13966525455021517</x:v>
      </x:c>
      <x:c r="M8" s="28" t="n">
        <x:v>5700</x:v>
      </x:c>
    </x:row>
    <x:row r="9">
      <x:c r="A9" s="27" t="str">
        <x:v>02-02-01</x:v>
      </x:c>
      <x:c r="B9" s="27" t="str">
        <x:v>02</x:v>
      </x:c>
      <x:c r="C9" s="27" t="str">
        <x:v>01</x:v>
      </x:c>
      <x:c r="D9" s="28" t="n">
        <x:v>18316</x:v>
      </x:c>
      <x:c r="E9" s="28" t="n">
        <x:v>1082</x:v>
      </x:c>
      <x:c r="F9" s="28" t="n">
        <x:f>E9/D9</x:f>
        <x:v>0.059074033631797335</x:v>
      </x:c>
      <x:c r="G9" s="28" t="n">
        <x:v>8496</x:v>
      </x:c>
      <x:c r="H9" s="28" t="n">
        <x:f>G9/D9</x:f>
        <x:v>0.4638567372788818</x:v>
      </x:c>
      <x:c r="I9" s="28" t="n">
        <x:v>8826</x:v>
      </x:c>
      <x:c r="J9" s="28" t="n">
        <x:f>I9/D9</x:f>
        <x:v>0.48187377156584404</x:v>
      </x:c>
      <x:c r="K9" s="28" t="n">
        <x:v>8729</x:v>
      </x:c>
      <x:c r="L9" s="28" t="n">
        <x:f>K9/D9</x:f>
        <x:v>0.47657785542694914</x:v>
      </x:c>
      <x:c r="M9" s="28" t="n">
        <x:v>761</x:v>
      </x:c>
    </x:row>
    <x:row r="10">
      <x:c r="A10" s="27" t="str">
        <x:v>02-02-02</x:v>
      </x:c>
      <x:c r="B10" s="27" t="str">
        <x:v>02</x:v>
      </x:c>
      <x:c r="C10" s="27" t="str">
        <x:v>02</x:v>
      </x:c>
      <x:c r="D10" s="28" t="n">
        <x:v>6737</x:v>
      </x:c>
      <x:c r="E10" s="28" t="n">
        <x:v>78</x:v>
      </x:c>
      <x:c r="F10" s="28" t="n">
        <x:f>E10/D10</x:f>
        <x:v>0.011577853644055218</x:v>
      </x:c>
      <x:c r="G10" s="28" t="n">
        <x:v>2237</x:v>
      </x:c>
      <x:c r="H10" s="28" t="n">
        <x:f>G10/D10</x:f>
        <x:v>0.33204690515066054</x:v>
      </x:c>
      <x:c r="I10" s="28" t="n">
        <x:v>2264</x:v>
      </x:c>
      <x:c r="J10" s="28" t="n">
        <x:f>I10/D10</x:f>
        <x:v>0.3360546237197566</x:v>
      </x:c>
      <x:c r="K10" s="28" t="n">
        <x:v>4184</x:v>
      </x:c>
      <x:c r="L10" s="28" t="n">
        <x:f>K10/D10</x:f>
        <x:v>0.621047944188808</x:v>
      </x:c>
      <x:c r="M10" s="28" t="n">
        <x:v>289</x:v>
      </x:c>
    </x:row>
    <x:row r="11">
      <x:c r="A11" s="27" t="str">
        <x:v>02-02-03</x:v>
      </x:c>
      <x:c r="B11" s="27" t="str">
        <x:v>02</x:v>
      </x:c>
      <x:c r="C11" s="27" t="str">
        <x:v>03</x:v>
      </x:c>
      <x:c r="D11" s="28" t="n">
        <x:v>3956</x:v>
      </x:c>
      <x:c r="E11" s="28" t="n">
        <x:v>179</x:v>
      </x:c>
      <x:c r="F11" s="28" t="n">
        <x:f>E11/D11</x:f>
        <x:v>0.04524772497472194</x:v>
      </x:c>
      <x:c r="G11" s="28" t="n">
        <x:v>1791</x:v>
      </x:c>
      <x:c r="H11" s="28" t="n">
        <x:f>G11/D11</x:f>
        <x:v>0.4527300303336704</x:v>
      </x:c>
      <x:c r="I11" s="28" t="n">
        <x:v>1826</x:v>
      </x:c>
      <x:c r="J11" s="28" t="n">
        <x:f>I11/D11</x:f>
        <x:v>0.461577350859454</x:v>
      </x:c>
      <x:c r="K11" s="28" t="n">
        <x:v>1991</x:v>
      </x:c>
      <x:c r="L11" s="28" t="n">
        <x:f>K11/D11</x:f>
        <x:v>0.5032861476238625</x:v>
      </x:c>
      <x:c r="M11" s="28" t="n">
        <x:v>139</x:v>
      </x:c>
    </x:row>
    <x:row r="12">
      <x:c r="A12" s="27" t="str">
        <x:v>02-02-04</x:v>
      </x:c>
      <x:c r="B12" s="27" t="str">
        <x:v>02</x:v>
      </x:c>
      <x:c r="C12" s="27" t="str">
        <x:v>04</x:v>
      </x:c>
      <x:c r="D12" s="28" t="n">
        <x:v>4479</x:v>
      </x:c>
      <x:c r="E12" s="28" t="n">
        <x:v>102</x:v>
      </x:c>
      <x:c r="F12" s="28" t="n">
        <x:f>E12/D12</x:f>
        <x:v>0.02277294038847957</x:v>
      </x:c>
      <x:c r="G12" s="28" t="n">
        <x:v>1922</x:v>
      </x:c>
      <x:c r="H12" s="28" t="n">
        <x:f>G12/D12</x:f>
        <x:v>0.42911364143782094</x:v>
      </x:c>
      <x:c r="I12" s="28" t="n">
        <x:v>1959</x:v>
      </x:c>
      <x:c r="J12" s="28" t="n">
        <x:f>I12/D12</x:f>
        <x:v>0.4373744139316812</x:v>
      </x:c>
      <x:c r="K12" s="28" t="n">
        <x:v>2296</x:v>
      </x:c>
      <x:c r="L12" s="28" t="n">
        <x:f>K12/D12</x:f>
        <x:v>0.512614422862246</x:v>
      </x:c>
      <x:c r="M12" s="28" t="n">
        <x:v>224</x:v>
      </x:c>
    </x:row>
    <x:row r="13">
      <x:c r="A13" s="27" t="str">
        <x:v>02-02-05</x:v>
      </x:c>
      <x:c r="B13" s="27" t="str">
        <x:v>02</x:v>
      </x:c>
      <x:c r="C13" s="27" t="str">
        <x:v>05</x:v>
      </x:c>
      <x:c r="D13" s="28" t="n">
        <x:v>2509</x:v>
      </x:c>
      <x:c r="E13" s="28" t="n">
        <x:v>129</x:v>
      </x:c>
      <x:c r="F13" s="28" t="n">
        <x:f>E13/D13</x:f>
        <x:v>0.05141490633718613</x:v>
      </x:c>
      <x:c r="G13" s="28" t="n">
        <x:v>1291</x:v>
      </x:c>
      <x:c r="H13" s="28" t="n">
        <x:f>G13/D13</x:f>
        <x:v>0.5145476285372659</x:v>
      </x:c>
      <x:c r="I13" s="28" t="n">
        <x:v>1322</x:v>
      </x:c>
      <x:c r="J13" s="28" t="n">
        <x:f>I13/D13</x:f>
        <x:v>0.5269031486648067</x:v>
      </x:c>
      <x:c r="K13" s="28" t="n">
        <x:v>1092</x:v>
      </x:c>
      <x:c r="L13" s="28" t="n">
        <x:f>K13/D13</x:f>
        <x:v>0.43523316062176165</x:v>
      </x:c>
      <x:c r="M13" s="28" t="n">
        <x:v>95</x:v>
      </x:c>
    </x:row>
    <x:row r="14">
      <x:c r="A14" s="27" t="str">
        <x:v>02-02-06</x:v>
      </x:c>
      <x:c r="B14" s="27" t="str">
        <x:v>02</x:v>
      </x:c>
      <x:c r="C14" s="27" t="str">
        <x:v>06</x:v>
      </x:c>
      <x:c r="D14" s="28" t="n">
        <x:v>2631</x:v>
      </x:c>
      <x:c r="E14" s="28" t="n">
        <x:v>95</x:v>
      </x:c>
      <x:c r="F14" s="28" t="n">
        <x:f>E14/D14</x:f>
        <x:v>0.03610794374762448</x:v>
      </x:c>
      <x:c r="G14" s="28" t="n">
        <x:v>1267</x:v>
      </x:c>
      <x:c r="H14" s="28" t="n">
        <x:f>G14/D14</x:f>
        <x:v>0.4815659445077917</x:v>
      </x:c>
      <x:c r="I14" s="28" t="n">
        <x:v>1295</x:v>
      </x:c>
      <x:c r="J14" s="28" t="n">
        <x:f>I14/D14</x:f>
        <x:v>0.492208285822881</x:v>
      </x:c>
      <x:c r="K14" s="28" t="n">
        <x:v>1241</x:v>
      </x:c>
      <x:c r="L14" s="28" t="n">
        <x:f>K14/D14</x:f>
        <x:v>0.4716837704294945</x:v>
      </x:c>
      <x:c r="M14" s="28" t="n">
        <x:v>95</x:v>
      </x:c>
    </x:row>
    <x:row r="15">
      <x:c r="A15" s="27" t="str">
        <x:v>02-03-01</x:v>
      </x:c>
      <x:c r="B15" s="27" t="str">
        <x:v>03</x:v>
      </x:c>
      <x:c r="C15" s="27" t="str">
        <x:v>01</x:v>
      </x:c>
      <x:c r="D15" s="28" t="n">
        <x:v>5244</x:v>
      </x:c>
      <x:c r="E15" s="28" t="n">
        <x:v>145</x:v>
      </x:c>
      <x:c r="F15" s="28" t="n">
        <x:f>E15/D15</x:f>
        <x:v>0.027650648360030512</x:v>
      </x:c>
      <x:c r="G15" s="28" t="n">
        <x:v>2248</x:v>
      </x:c>
      <x:c r="H15" s="28" t="n">
        <x:f>G15/D15</x:f>
        <x:v>0.4286803966437834</x:v>
      </x:c>
      <x:c r="I15" s="28" t="n">
        <x:v>2273</x:v>
      </x:c>
      <x:c r="J15" s="28" t="n">
        <x:f>I15/D15</x:f>
        <x:v>0.4334477498093059</x:v>
      </x:c>
      <x:c r="K15" s="28" t="n">
        <x:v>2726</x:v>
      </x:c>
      <x:c r="L15" s="28" t="n">
        <x:f>K15/D15</x:f>
        <x:v>0.5198321891685737</x:v>
      </x:c>
      <x:c r="M15" s="28" t="n">
        <x:v>245</x:v>
      </x:c>
    </x:row>
    <x:row r="16">
      <x:c r="A16" s="27" t="str">
        <x:v>02-03-02</x:v>
      </x:c>
      <x:c r="B16" s="27" t="str">
        <x:v>03</x:v>
      </x:c>
      <x:c r="C16" s="27" t="str">
        <x:v>02</x:v>
      </x:c>
      <x:c r="D16" s="28" t="n">
        <x:v>5233</x:v>
      </x:c>
      <x:c r="E16" s="28" t="n">
        <x:v>40</x:v>
      </x:c>
      <x:c r="F16" s="28" t="n">
        <x:f>E16/D16</x:f>
        <x:v>0.007643798968087139</x:v>
      </x:c>
      <x:c r="G16" s="28" t="n">
        <x:v>2463</x:v>
      </x:c>
      <x:c r="H16" s="28" t="n">
        <x:f>G16/D16</x:f>
        <x:v>0.4706669214599656</x:v>
      </x:c>
      <x:c r="I16" s="28" t="n">
        <x:v>2478</x:v>
      </x:c>
      <x:c r="J16" s="28" t="n">
        <x:f>I16/D16</x:f>
        <x:v>0.4735333460729983</x:v>
      </x:c>
      <x:c r="K16" s="28" t="n">
        <x:v>2535</x:v>
      </x:c>
      <x:c r="L16" s="28" t="n">
        <x:f>K16/D16</x:f>
        <x:v>0.48442575960252243</x:v>
      </x:c>
      <x:c r="M16" s="28" t="n">
        <x:v>220</x:v>
      </x:c>
    </x:row>
    <x:row r="17">
      <x:c r="A17" s="27" t="str">
        <x:v>02-03-03</x:v>
      </x:c>
      <x:c r="B17" s="27" t="str">
        <x:v>03</x:v>
      </x:c>
      <x:c r="C17" s="27" t="str">
        <x:v>03</x:v>
      </x:c>
      <x:c r="D17" s="28" t="n">
        <x:v>5108</x:v>
      </x:c>
      <x:c r="E17" s="28" t="n">
        <x:v>16</x:v>
      </x:c>
      <x:c r="F17" s="28" t="n">
        <x:f>E17/D17</x:f>
        <x:v>0.0031323414252153485</x:v>
      </x:c>
      <x:c r="G17" s="28" t="n">
        <x:v>1539</x:v>
      </x:c>
      <x:c r="H17" s="28" t="n">
        <x:f>G17/D17</x:f>
        <x:v>0.3012920908379013</x:v>
      </x:c>
      <x:c r="I17" s="28" t="n">
        <x:v>1545</x:v>
      </x:c>
      <x:c r="J17" s="28" t="n">
        <x:f>I17/D17</x:f>
        <x:v>0.3024667188723571</x:v>
      </x:c>
      <x:c r="K17" s="28" t="n">
        <x:v>3358</x:v>
      </x:c>
      <x:c r="L17" s="28" t="n">
        <x:f>K17/D17</x:f>
        <x:v>0.6574001566170713</x:v>
      </x:c>
      <x:c r="M17" s="28" t="n">
        <x:v>205</x:v>
      </x:c>
    </x:row>
    <x:row r="18">
      <x:c r="A18" s="27" t="str">
        <x:v>02-03-04</x:v>
      </x:c>
      <x:c r="B18" s="27" t="str">
        <x:v>03</x:v>
      </x:c>
      <x:c r="C18" s="27" t="str">
        <x:v>04</x:v>
      </x:c>
      <x:c r="D18" s="28" t="n">
        <x:v>1930</x:v>
      </x:c>
      <x:c r="E18" s="28" t="n">
        <x:v>10</x:v>
      </x:c>
      <x:c r="F18" s="28" t="n">
        <x:f>E18/D18</x:f>
        <x:v>0.0051813471502590676</x:v>
      </x:c>
      <x:c r="G18" s="28" t="n">
        <x:v>964</x:v>
      </x:c>
      <x:c r="H18" s="28" t="n">
        <x:f>G18/D18</x:f>
        <x:v>0.49948186528497407</x:v>
      </x:c>
      <x:c r="I18" s="28" t="n">
        <x:v>969</x:v>
      </x:c>
      <x:c r="J18" s="28" t="n">
        <x:f>I18/D18</x:f>
        <x:v>0.5020725388601036</x:v>
      </x:c>
      <x:c r="K18" s="28" t="n">
        <x:v>906</x:v>
      </x:c>
      <x:c r="L18" s="28" t="n">
        <x:f>K18/D18</x:f>
        <x:v>0.4694300518134715</x:v>
      </x:c>
      <x:c r="M18" s="28" t="n">
        <x:v>55</x:v>
      </x:c>
    </x:row>
    <x:row r="19">
      <x:c r="A19" s="27" t="str">
        <x:v>02-03-05</x:v>
      </x:c>
      <x:c r="B19" s="27" t="str">
        <x:v>03</x:v>
      </x:c>
      <x:c r="C19" s="27" t="str">
        <x:v>05</x:v>
      </x:c>
      <x:c r="D19" s="28" t="n">
        <x:v>1742</x:v>
      </x:c>
      <x:c r="E19" s="28" t="n">
        <x:v>9</x:v>
      </x:c>
      <x:c r="F19" s="28" t="n">
        <x:f>E19/D19</x:f>
        <x:v>0.005166475315729047</x:v>
      </x:c>
      <x:c r="G19" s="28" t="n">
        <x:v>706</x:v>
      </x:c>
      <x:c r="H19" s="28" t="n">
        <x:f>G19/D19</x:f>
        <x:v>0.4052812858783008</x:v>
      </x:c>
      <x:c r="I19" s="28" t="n">
        <x:v>709</x:v>
      </x:c>
      <x:c r="J19" s="28" t="n">
        <x:f>I19/D19</x:f>
        <x:v>0.4070034443168771</x:v>
      </x:c>
      <x:c r="K19" s="28" t="n">
        <x:v>949</x:v>
      </x:c>
      <x:c r="L19" s="28" t="n">
        <x:f>K19/D19</x:f>
        <x:v>0.5447761194029851</x:v>
      </x:c>
      <x:c r="M19" s="28" t="n">
        <x:v>84</x:v>
      </x:c>
    </x:row>
    <x:row r="20">
      <x:c r="A20" s="27" t="str">
        <x:v>02-03-06</x:v>
      </x:c>
      <x:c r="B20" s="27" t="str">
        <x:v>03</x:v>
      </x:c>
      <x:c r="C20" s="27" t="str">
        <x:v>06</x:v>
      </x:c>
      <x:c r="D20" s="28" t="n">
        <x:v>1463</x:v>
      </x:c>
      <x:c r="E20" s="28" t="n">
        <x:v>20</x:v>
      </x:c>
      <x:c r="F20" s="28" t="n">
        <x:f>E20/D20</x:f>
        <x:v>0.01367053998632946</x:v>
      </x:c>
      <x:c r="G20" s="28" t="n">
        <x:v>531</x:v>
      </x:c>
      <x:c r="H20" s="28" t="n">
        <x:f>G20/D20</x:f>
        <x:v>0.36295283663704714</x:v>
      </x:c>
      <x:c r="I20" s="28" t="n">
        <x:v>542</x:v>
      </x:c>
      <x:c r="J20" s="28" t="n">
        <x:f>I20/D20</x:f>
        <x:v>0.37047163362952834</x:v>
      </x:c>
      <x:c r="K20" s="28" t="n">
        <x:v>799</x:v>
      </x:c>
      <x:c r="L20" s="28" t="n">
        <x:f>K20/D20</x:f>
        <x:v>0.5461380724538619</x:v>
      </x:c>
      <x:c r="M20" s="28" t="n">
        <x:v>122</x:v>
      </x:c>
    </x:row>
    <x:row r="21">
      <x:c r="A21" s="27" t="str">
        <x:v>02-03-07</x:v>
      </x:c>
      <x:c r="B21" s="27" t="str">
        <x:v>03</x:v>
      </x:c>
      <x:c r="C21" s="27" t="str">
        <x:v>07</x:v>
      </x:c>
      <x:c r="D21" s="28" t="n">
        <x:v>1213</x:v>
      </x:c>
      <x:c r="E21" s="28" t="n">
        <x:v>8</x:v>
      </x:c>
      <x:c r="F21" s="28" t="n">
        <x:f>E21/D21</x:f>
        <x:v>0.006595218466611707</x:v>
      </x:c>
      <x:c r="G21" s="28" t="n">
        <x:v>583</x:v>
      </x:c>
      <x:c r="H21" s="28" t="n">
        <x:f>G21/D21</x:f>
        <x:v>0.4806265457543281</x:v>
      </x:c>
      <x:c r="I21" s="28" t="n">
        <x:v>585</x:v>
      </x:c>
      <x:c r="J21" s="28" t="n">
        <x:f>I21/D21</x:f>
        <x:v>0.482275350370981</x:v>
      </x:c>
      <x:c r="K21" s="28" t="n">
        <x:v>560</x:v>
      </x:c>
      <x:c r="L21" s="28" t="n">
        <x:f>K21/D21</x:f>
        <x:v>0.46166529266281947</x:v>
      </x:c>
      <x:c r="M21" s="28" t="n">
        <x:v>68</x:v>
      </x:c>
    </x:row>
    <x:row r="22">
      <x:c r="A22" s="27" t="str">
        <x:v>02-03-08</x:v>
      </x:c>
      <x:c r="B22" s="27" t="str">
        <x:v>03</x:v>
      </x:c>
      <x:c r="C22" s="27" t="str">
        <x:v>08</x:v>
      </x:c>
      <x:c r="D22" s="28" t="n">
        <x:v>3569</x:v>
      </x:c>
      <x:c r="E22" s="28" t="n">
        <x:v>21</x:v>
      </x:c>
      <x:c r="F22" s="28" t="n">
        <x:f>E22/D22</x:f>
        <x:v>0.005884001120762118</x:v>
      </x:c>
      <x:c r="G22" s="28" t="n">
        <x:v>1239</x:v>
      </x:c>
      <x:c r="H22" s="28" t="n">
        <x:f>G22/D22</x:f>
        <x:v>0.34715606612496497</x:v>
      </x:c>
      <x:c r="I22" s="28" t="n">
        <x:v>1250</x:v>
      </x:c>
      <x:c r="J22" s="28" t="n">
        <x:f>I22/D22</x:f>
        <x:v>0.3502381619501261</x:v>
      </x:c>
      <x:c r="K22" s="28" t="n">
        <x:v>2064</x:v>
      </x:c>
      <x:c r="L22" s="28" t="n">
        <x:f>K22/D22</x:f>
        <x:v>0.5783132530120482</x:v>
      </x:c>
      <x:c r="M22" s="28" t="n">
        <x:v>255</x:v>
      </x:c>
    </x:row>
    <x:row r="23">
      <x:c r="A23" s="27" t="str">
        <x:v>02-04-01</x:v>
      </x:c>
      <x:c r="B23" s="27" t="str">
        <x:v>04</x:v>
      </x:c>
      <x:c r="C23" s="27" t="str">
        <x:v>01</x:v>
      </x:c>
      <x:c r="D23" s="28" t="n">
        <x:v>6604</x:v>
      </x:c>
      <x:c r="E23" s="28" t="n">
        <x:v>58</x:v>
      </x:c>
      <x:c r="F23" s="28" t="n">
        <x:f>E23/D23</x:f>
        <x:v>0.008782556026650516</x:v>
      </x:c>
      <x:c r="G23" s="28" t="n">
        <x:v>2398</x:v>
      </x:c>
      <x:c r="H23" s="28" t="n">
        <x:f>G23/D23</x:f>
        <x:v>0.3631132646880678</x:v>
      </x:c>
      <x:c r="I23" s="28" t="n">
        <x:v>2420</x:v>
      </x:c>
      <x:c r="J23" s="28" t="n">
        <x:f>I23/D23</x:f>
        <x:v>0.36644457904300426</x:v>
      </x:c>
      <x:c r="K23" s="28" t="n">
        <x:v>3964</x:v>
      </x:c>
      <x:c r="L23" s="28" t="n">
        <x:f>K23/D23</x:f>
        <x:v>0.6002422774076317</x:v>
      </x:c>
      <x:c r="M23" s="28" t="n">
        <x:v>220</x:v>
      </x:c>
    </x:row>
    <x:row r="24">
      <x:c r="A24" s="27" t="str">
        <x:v>02-04-02</x:v>
      </x:c>
      <x:c r="B24" s="27" t="str">
        <x:v>04</x:v>
      </x:c>
      <x:c r="C24" s="27" t="str">
        <x:v>02</x:v>
      </x:c>
      <x:c r="D24" s="28" t="n">
        <x:v>8013</x:v>
      </x:c>
      <x:c r="E24" s="28" t="n">
        <x:v>62</x:v>
      </x:c>
      <x:c r="F24" s="28" t="n">
        <x:f>E24/D24</x:f>
        <x:v>0.0077374266816423315</x:v>
      </x:c>
      <x:c r="G24" s="28" t="n">
        <x:v>2687</x:v>
      </x:c>
      <x:c r="H24" s="28" t="n">
        <x:f>G24/D24</x:f>
        <x:v>0.3353300886060152</x:v>
      </x:c>
      <x:c r="I24" s="28" t="n">
        <x:v>2715</x:v>
      </x:c>
      <x:c r="J24" s="28" t="n">
        <x:f>I24/D24</x:f>
        <x:v>0.33882441033320854</x:v>
      </x:c>
      <x:c r="K24" s="28" t="n">
        <x:v>4862</x:v>
      </x:c>
      <x:c r="L24" s="28" t="n">
        <x:f>K24/D24</x:f>
        <x:v>0.6067640084862099</x:v>
      </x:c>
      <x:c r="M24" s="28" t="n">
        <x:v>436</x:v>
      </x:c>
    </x:row>
    <x:row r="25">
      <x:c r="A25" s="27" t="str">
        <x:v>02-04-03</x:v>
      </x:c>
      <x:c r="B25" s="27" t="str">
        <x:v>04</x:v>
      </x:c>
      <x:c r="C25" s="27" t="str">
        <x:v>03</x:v>
      </x:c>
      <x:c r="D25" s="28" t="n">
        <x:v>7065</x:v>
      </x:c>
      <x:c r="E25" s="28" t="n">
        <x:v>121</x:v>
      </x:c>
      <x:c r="F25" s="28" t="n">
        <x:f>E25/D25</x:f>
        <x:v>0.017126680820948335</x:v>
      </x:c>
      <x:c r="G25" s="28" t="n">
        <x:v>2581</x:v>
      </x:c>
      <x:c r="H25" s="28" t="n">
        <x:f>G25/D25</x:f>
        <x:v>0.3653220099079972</x:v>
      </x:c>
      <x:c r="I25" s="28" t="n">
        <x:v>2618</x:v>
      </x:c>
      <x:c r="J25" s="28" t="n">
        <x:f>I25/D25</x:f>
        <x:v>0.3705590941259731</x:v>
      </x:c>
      <x:c r="K25" s="28" t="n">
        <x:v>4173</x:v>
      </x:c>
      <x:c r="L25" s="28" t="n">
        <x:f>K25/D25</x:f>
        <x:v>0.5906581740976645</x:v>
      </x:c>
      <x:c r="M25" s="28" t="n">
        <x:v>274</x:v>
      </x:c>
    </x:row>
    <x:row r="26">
      <x:c r="A26" s="27" t="str">
        <x:v>02-04-04</x:v>
      </x:c>
      <x:c r="B26" s="27" t="str">
        <x:v>04</x:v>
      </x:c>
      <x:c r="C26" s="27" t="str">
        <x:v>04</x:v>
      </x:c>
      <x:c r="D26" s="28" t="n">
        <x:v>2527</x:v>
      </x:c>
      <x:c r="E26" s="28" t="n">
        <x:v>20</x:v>
      </x:c>
      <x:c r="F26" s="28" t="n">
        <x:f>E26/D26</x:f>
        <x:v>0.007914523149980214</x:v>
      </x:c>
      <x:c r="G26" s="28" t="n">
        <x:v>731</x:v>
      </x:c>
      <x:c r="H26" s="28" t="n">
        <x:f>G26/D26</x:f>
        <x:v>0.2892758211317768</x:v>
      </x:c>
      <x:c r="I26" s="28" t="n">
        <x:v>743</x:v>
      </x:c>
      <x:c r="J26" s="28" t="n">
        <x:f>I26/D26</x:f>
        <x:v>0.29402453502176495</x:v>
      </x:c>
      <x:c r="K26" s="28" t="n">
        <x:v>1722</x:v>
      </x:c>
      <x:c r="L26" s="28" t="n">
        <x:f>K26/D26</x:f>
        <x:v>0.6814404432132964</x:v>
      </x:c>
      <x:c r="M26" s="28" t="n">
        <x:v>62</x:v>
      </x:c>
    </x:row>
    <x:row r="27">
      <x:c r="A27" s="27" t="str">
        <x:v>02-04-05</x:v>
      </x:c>
      <x:c r="B27" s="27" t="str">
        <x:v>04</x:v>
      </x:c>
      <x:c r="C27" s="27" t="str">
        <x:v>05</x:v>
      </x:c>
      <x:c r="D27" s="28" t="n">
        <x:v>4116</x:v>
      </x:c>
      <x:c r="E27" s="28" t="n">
        <x:v>60</x:v>
      </x:c>
      <x:c r="F27" s="28" t="n">
        <x:f>E27/D27</x:f>
        <x:v>0.014577259475218658</x:v>
      </x:c>
      <x:c r="G27" s="28" t="n">
        <x:v>1509</x:v>
      </x:c>
      <x:c r="H27" s="28" t="n">
        <x:f>G27/D27</x:f>
        <x:v>0.36661807580174927</x:v>
      </x:c>
      <x:c r="I27" s="28" t="n">
        <x:v>1528</x:v>
      </x:c>
      <x:c r="J27" s="28" t="n">
        <x:f>I27/D27</x:f>
        <x:v>0.37123420796890183</x:v>
      </x:c>
      <x:c r="K27" s="28" t="n">
        <x:v>2447</x:v>
      </x:c>
      <x:c r="L27" s="28" t="n">
        <x:f>K27/D27</x:f>
        <x:v>0.5945092322643343</x:v>
      </x:c>
      <x:c r="M27" s="28" t="n">
        <x:v>141</x:v>
      </x:c>
    </x:row>
    <x:row r="28">
      <x:c r="A28" s="27" t="str">
        <x:v>02-05-01</x:v>
      </x:c>
      <x:c r="B28" s="27" t="str">
        <x:v>05</x:v>
      </x:c>
      <x:c r="C28" s="27" t="str">
        <x:v>01</x:v>
      </x:c>
      <x:c r="D28" s="28" t="n">
        <x:v>6388</x:v>
      </x:c>
      <x:c r="E28" s="28" t="n">
        <x:v>80</x:v>
      </x:c>
      <x:c r="F28" s="28" t="n">
        <x:f>E28/D28</x:f>
        <x:v>0.012523481527864746</x:v>
      </x:c>
      <x:c r="G28" s="28" t="n">
        <x:v>2140</x:v>
      </x:c>
      <x:c r="H28" s="28" t="n">
        <x:f>G28/D28</x:f>
        <x:v>0.33500313087038197</x:v>
      </x:c>
      <x:c r="I28" s="28" t="n">
        <x:v>2177</x:v>
      </x:c>
      <x:c r="J28" s="28" t="n">
        <x:f>I28/D28</x:f>
        <x:v>0.3407952410770194</x:v>
      </x:c>
      <x:c r="K28" s="28" t="n">
        <x:v>3883</x:v>
      </x:c>
      <x:c r="L28" s="28" t="n">
        <x:f>K28/D28</x:f>
        <x:v>0.6078584846587352</x:v>
      </x:c>
      <x:c r="M28" s="28" t="n">
        <x:v>328</x:v>
      </x:c>
    </x:row>
    <x:row r="29">
      <x:c r="A29" s="27" t="str">
        <x:v>02-05-02</x:v>
      </x:c>
      <x:c r="B29" s="27" t="str">
        <x:v>05</x:v>
      </x:c>
      <x:c r="C29" s="27" t="str">
        <x:v>02</x:v>
      </x:c>
      <x:c r="D29" s="28" t="n">
        <x:v>3494</x:v>
      </x:c>
      <x:c r="E29" s="28" t="n">
        <x:v>37</x:v>
      </x:c>
      <x:c r="F29" s="28" t="n">
        <x:f>E29/D29</x:f>
        <x:v>0.010589582140812822</x:v>
      </x:c>
      <x:c r="G29" s="28" t="n">
        <x:v>836</x:v>
      </x:c>
      <x:c r="H29" s="28" t="n">
        <x:f>G29/D29</x:f>
        <x:v>0.23926731539782484</x:v>
      </x:c>
      <x:c r="I29" s="28" t="n">
        <x:v>850</x:v>
      </x:c>
      <x:c r="J29" s="28" t="n">
        <x:f>I29/D29</x:f>
        <x:v>0.24327418431597023</x:v>
      </x:c>
      <x:c r="K29" s="28" t="n">
        <x:v>2401</x:v>
      </x:c>
      <x:c r="L29" s="28" t="n">
        <x:f>K29/D29</x:f>
        <x:v>0.6871780194619348</x:v>
      </x:c>
      <x:c r="M29" s="28" t="n">
        <x:v>243</x:v>
      </x:c>
    </x:row>
    <x:row r="30">
      <x:c r="A30" s="27" t="str">
        <x:v>02-05-03</x:v>
      </x:c>
      <x:c r="B30" s="27" t="str">
        <x:v>05</x:v>
      </x:c>
      <x:c r="C30" s="27" t="str">
        <x:v>03</x:v>
      </x:c>
      <x:c r="D30" s="28" t="n">
        <x:v>2500</x:v>
      </x:c>
      <x:c r="E30" s="28" t="n">
        <x:v>30</x:v>
      </x:c>
      <x:c r="F30" s="28" t="n">
        <x:f>E30/D30</x:f>
        <x:v>0.012</x:v>
      </x:c>
      <x:c r="G30" s="28" t="n">
        <x:v>941</x:v>
      </x:c>
      <x:c r="H30" s="28" t="n">
        <x:f>G30/D30</x:f>
        <x:v>0.3764</x:v>
      </x:c>
      <x:c r="I30" s="28" t="n">
        <x:v>952</x:v>
      </x:c>
      <x:c r="J30" s="28" t="n">
        <x:f>I30/D30</x:f>
        <x:v>0.3808</x:v>
      </x:c>
      <x:c r="K30" s="28" t="n">
        <x:v>1425</x:v>
      </x:c>
      <x:c r="L30" s="28" t="n">
        <x:f>K30/D30</x:f>
        <x:v>0.57</x:v>
      </x:c>
      <x:c r="M30" s="28" t="n">
        <x:v>123</x:v>
      </x:c>
    </x:row>
    <x:row r="31">
      <x:c r="A31" s="27" t="str">
        <x:v>02-06-01</x:v>
      </x:c>
      <x:c r="B31" s="27" t="str">
        <x:v>06</x:v>
      </x:c>
      <x:c r="C31" s="27" t="str">
        <x:v>01</x:v>
      </x:c>
      <x:c r="D31" s="28" t="n">
        <x:v>11459</x:v>
      </x:c>
      <x:c r="E31" s="28" t="n">
        <x:v>508</x:v>
      </x:c>
      <x:c r="F31" s="28" t="n">
        <x:f>E31/D31</x:f>
        <x:v>0.04433196614015185</x:v>
      </x:c>
      <x:c r="G31" s="28" t="n">
        <x:v>5763</x:v>
      </x:c>
      <x:c r="H31" s="28" t="n">
        <x:f>G31/D31</x:f>
        <x:v>0.5029234662710533</x:v>
      </x:c>
      <x:c r="I31" s="28" t="n">
        <x:v>5914</x:v>
      </x:c>
      <x:c r="J31" s="28" t="n">
        <x:f>I31/D31</x:f>
        <x:v>0.5161008814032638</x:v>
      </x:c>
      <x:c r="K31" s="28" t="n">
        <x:v>5021</x:v>
      </x:c>
      <x:c r="L31" s="28" t="n">
        <x:f>K31/D31</x:f>
        <x:v>0.43817087005846933</x:v>
      </x:c>
      <x:c r="M31" s="28" t="n">
        <x:v>524</x:v>
      </x:c>
    </x:row>
    <x:row r="32">
      <x:c r="A32" s="27" t="str">
        <x:v>02-06-02</x:v>
      </x:c>
      <x:c r="B32" s="27" t="str">
        <x:v>06</x:v>
      </x:c>
      <x:c r="C32" s="27" t="str">
        <x:v>02</x:v>
      </x:c>
      <x:c r="D32" s="28" t="n">
        <x:v>6269</x:v>
      </x:c>
      <x:c r="E32" s="28" t="n">
        <x:v>541</x:v>
      </x:c>
      <x:c r="F32" s="28" t="n">
        <x:f>E32/D32</x:f>
        <x:v>0.08629765512840963</x:v>
      </x:c>
      <x:c r="G32" s="28" t="n">
        <x:v>3838</x:v>
      </x:c>
      <x:c r="H32" s="28" t="n">
        <x:f>G32/D32</x:f>
        <x:v>0.6122188546817674</x:v>
      </x:c>
      <x:c r="I32" s="28" t="n">
        <x:v>3958</x:v>
      </x:c>
      <x:c r="J32" s="28" t="n">
        <x:f>I32/D32</x:f>
        <x:v>0.6313606635827086</x:v>
      </x:c>
      <x:c r="K32" s="28" t="n">
        <x:v>2051</x:v>
      </x:c>
      <x:c r="L32" s="28" t="n">
        <x:f>K32/D32</x:f>
        <x:v>0.327165417131919</x:v>
      </x:c>
      <x:c r="M32" s="28" t="n">
        <x:v>260</x:v>
      </x:c>
    </x:row>
    <x:row r="33">
      <x:c r="A33" s="27" t="str">
        <x:v>02-06-03</x:v>
      </x:c>
      <x:c r="B33" s="27" t="str">
        <x:v>06</x:v>
      </x:c>
      <x:c r="C33" s="27" t="str">
        <x:v>03</x:v>
      </x:c>
      <x:c r="D33" s="28" t="n">
        <x:v>4152</x:v>
      </x:c>
      <x:c r="E33" s="28" t="n">
        <x:v>36</x:v>
      </x:c>
      <x:c r="F33" s="28" t="n">
        <x:f>E33/D33</x:f>
        <x:v>0.008670520231213872</x:v>
      </x:c>
      <x:c r="G33" s="28" t="n">
        <x:v>2157</x:v>
      </x:c>
      <x:c r="H33" s="28" t="n">
        <x:f>G33/D33</x:f>
        <x:v>0.5195086705202312</x:v>
      </x:c>
      <x:c r="I33" s="28" t="n">
        <x:v>2169</x:v>
      </x:c>
      <x:c r="J33" s="28" t="n">
        <x:f>I33/D33</x:f>
        <x:v>0.5223988439306358</x:v>
      </x:c>
      <x:c r="K33" s="28" t="n">
        <x:v>1815</x:v>
      </x:c>
      <x:c r="L33" s="28" t="n">
        <x:f>K33/D33</x:f>
        <x:v>0.43713872832369943</x:v>
      </x:c>
      <x:c r="M33" s="28" t="n">
        <x:v>168</x:v>
      </x:c>
    </x:row>
    <x:row r="34">
      <x:c r="A34" s="27" t="str">
        <x:v>02-06-04</x:v>
      </x:c>
      <x:c r="B34" s="27" t="str">
        <x:v>06</x:v>
      </x:c>
      <x:c r="C34" s="27" t="str">
        <x:v>04</x:v>
      </x:c>
      <x:c r="D34" s="28" t="n">
        <x:v>1391</x:v>
      </x:c>
      <x:c r="E34" s="28" t="n">
        <x:v>8</x:v>
      </x:c>
      <x:c r="F34" s="28" t="n">
        <x:f>E34/D34</x:f>
        <x:v>0.005751258087706686</x:v>
      </x:c>
      <x:c r="G34" s="28" t="n">
        <x:v>489</x:v>
      </x:c>
      <x:c r="H34" s="28" t="n">
        <x:f>G34/D34</x:f>
        <x:v>0.3515456506110712</x:v>
      </x:c>
      <x:c r="I34" s="28" t="n">
        <x:v>492</x:v>
      </x:c>
      <x:c r="J34" s="28" t="n">
        <x:f>I34/D34</x:f>
        <x:v>0.3537023723939612</x:v>
      </x:c>
      <x:c r="K34" s="28" t="n">
        <x:v>831</x:v>
      </x:c>
      <x:c r="L34" s="28" t="n">
        <x:f>K34/D34</x:f>
        <x:v>0.597411933860532</x:v>
      </x:c>
      <x:c r="M34" s="28" t="n">
        <x:v>68</x:v>
      </x:c>
    </x:row>
    <x:row r="35">
      <x:c r="A35" s="27" t="str">
        <x:v>02-06-05</x:v>
      </x:c>
      <x:c r="B35" s="27" t="str">
        <x:v>06</x:v>
      </x:c>
      <x:c r="C35" s="27" t="str">
        <x:v>05</x:v>
      </x:c>
      <x:c r="D35" s="28" t="n">
        <x:v>1425</x:v>
      </x:c>
      <x:c r="E35" s="28" t="n">
        <x:v>6</x:v>
      </x:c>
      <x:c r="F35" s="28" t="n">
        <x:f>E35/D35</x:f>
        <x:v>0.004210526315789474</x:v>
      </x:c>
      <x:c r="G35" s="28" t="n">
        <x:v>534</x:v>
      </x:c>
      <x:c r="H35" s="28" t="n">
        <x:f>G35/D35</x:f>
        <x:v>0.37473684210526315</x:v>
      </x:c>
      <x:c r="I35" s="28" t="n">
        <x:v>536</x:v>
      </x:c>
      <x:c r="J35" s="28" t="n">
        <x:f>I35/D35</x:f>
        <x:v>0.376140350877193</x:v>
      </x:c>
      <x:c r="K35" s="28" t="n">
        <x:v>801</x:v>
      </x:c>
      <x:c r="L35" s="28" t="n">
        <x:f>K35/D35</x:f>
        <x:v>0.5621052631578948</x:v>
      </x:c>
      <x:c r="M35" s="28" t="n">
        <x:v>88</x:v>
      </x:c>
    </x:row>
    <x:row r="36">
      <x:c r="A36" s="27" t="str">
        <x:v>02-06-06</x:v>
      </x:c>
      <x:c r="B36" s="27" t="str">
        <x:v>06</x:v>
      </x:c>
      <x:c r="C36" s="27" t="str">
        <x:v>06</x:v>
      </x:c>
      <x:c r="D36" s="28" t="n">
        <x:v>3243</x:v>
      </x:c>
      <x:c r="E36" s="28" t="n">
        <x:v>205</x:v>
      </x:c>
      <x:c r="F36" s="28" t="n">
        <x:f>E36/D36</x:f>
        <x:v>0.06321307431390688</x:v>
      </x:c>
      <x:c r="G36" s="28" t="n">
        <x:v>2306</x:v>
      </x:c>
      <x:c r="H36" s="28" t="n">
        <x:f>G36/D36</x:f>
        <x:v>0.7110699969164354</x:v>
      </x:c>
      <x:c r="I36" s="28" t="n">
        <x:v>2349</x:v>
      </x:c>
      <x:c r="J36" s="28" t="n">
        <x:f>I36/D36</x:f>
        <x:v>0.7243293246993524</x:v>
      </x:c>
      <x:c r="K36" s="28" t="n">
        <x:v>807</x:v>
      </x:c>
      <x:c r="L36" s="28" t="n">
        <x:f>K36/D36</x:f>
        <x:v>0.2488436632747456</x:v>
      </x:c>
      <x:c r="M36" s="28" t="n">
        <x:v>87</x:v>
      </x:c>
    </x:row>
    <x:row r="37">
      <x:c r="A37" s="27" t="str">
        <x:v>02-06-07</x:v>
      </x:c>
      <x:c r="B37" s="27" t="str">
        <x:v>06</x:v>
      </x:c>
      <x:c r="C37" s="27" t="str">
        <x:v>07</x:v>
      </x:c>
      <x:c r="D37" s="28" t="n">
        <x:v>6898</x:v>
      </x:c>
      <x:c r="E37" s="28" t="n">
        <x:v>224</x:v>
      </x:c>
      <x:c r="F37" s="28" t="n">
        <x:f>E37/D37</x:f>
        <x:v>0.032473180632067264</x:v>
      </x:c>
      <x:c r="G37" s="28" t="n">
        <x:v>4877</x:v>
      </x:c>
      <x:c r="H37" s="28" t="n">
        <x:f>G37/D37</x:f>
        <x:v>0.7070165265294288</x:v>
      </x:c>
      <x:c r="I37" s="28" t="n">
        <x:v>4939</x:v>
      </x:c>
      <x:c r="J37" s="28" t="n">
        <x:f>I37/D37</x:f>
        <x:v>0.7160046390258046</x:v>
      </x:c>
      <x:c r="K37" s="28" t="n">
        <x:v>1662</x:v>
      </x:c>
      <x:c r="L37" s="28" t="n">
        <x:f>K37/D37</x:f>
        <x:v>0.24093940272542766</x:v>
      </x:c>
      <x:c r="M37" s="28" t="n">
        <x:v>297</x:v>
      </x:c>
    </x:row>
    <x:row r="38">
      <x:c r="A38" s="27" t="str">
        <x:v>02-06-08</x:v>
      </x:c>
      <x:c r="B38" s="27" t="str">
        <x:v>06</x:v>
      </x:c>
      <x:c r="C38" s="27" t="str">
        <x:v>08</x:v>
      </x:c>
      <x:c r="D38" s="28" t="n">
        <x:v>4602</x:v>
      </x:c>
      <x:c r="E38" s="28" t="n">
        <x:v>178</x:v>
      </x:c>
      <x:c r="F38" s="28" t="n">
        <x:f>E38/D38</x:f>
        <x:v>0.03867883528900478</x:v>
      </x:c>
      <x:c r="G38" s="28" t="n">
        <x:v>2655</x:v>
      </x:c>
      <x:c r="H38" s="28" t="n">
        <x:f>G38/D38</x:f>
        <x:v>0.5769230769230769</x:v>
      </x:c>
      <x:c r="I38" s="28" t="n">
        <x:v>2701</x:v>
      </x:c>
      <x:c r="J38" s="28" t="n">
        <x:f>I38/D38</x:f>
        <x:v>0.5869187309865276</x:v>
      </x:c>
      <x:c r="K38" s="28" t="n">
        <x:v>1729</x:v>
      </x:c>
      <x:c r="L38" s="28" t="n">
        <x:f>K38/D38</x:f>
        <x:v>0.3757062146892655</x:v>
      </x:c>
      <x:c r="M38" s="28" t="n">
        <x:v>172</x:v>
      </x:c>
    </x:row>
    <x:row r="39">
      <x:c r="A39" s="27" t="str">
        <x:v>02-07-01</x:v>
      </x:c>
      <x:c r="B39" s="27" t="str">
        <x:v>07</x:v>
      </x:c>
      <x:c r="C39" s="27" t="str">
        <x:v>01</x:v>
      </x:c>
      <x:c r="D39" s="28" t="n">
        <x:v>6164</x:v>
      </x:c>
      <x:c r="E39" s="28" t="n">
        <x:v>83</x:v>
      </x:c>
      <x:c r="F39" s="28" t="n">
        <x:f>E39/D39</x:f>
        <x:v>0.01346528228423102</x:v>
      </x:c>
      <x:c r="G39" s="28" t="n">
        <x:v>3151</x:v>
      </x:c>
      <x:c r="H39" s="28" t="n">
        <x:f>G39/D39</x:f>
        <x:v>0.5111940298507462</x:v>
      </x:c>
      <x:c r="I39" s="28" t="n">
        <x:v>3176</x:v>
      </x:c>
      <x:c r="J39" s="28" t="n">
        <x:f>I39/D39</x:f>
        <x:v>0.5152498377676833</x:v>
      </x:c>
      <x:c r="K39" s="28" t="n">
        <x:v>2712</x:v>
      </x:c>
      <x:c r="L39" s="28" t="n">
        <x:f>K39/D39</x:f>
        <x:v>0.4399740428293316</x:v>
      </x:c>
      <x:c r="M39" s="28" t="n">
        <x:v>276</x:v>
      </x:c>
    </x:row>
    <x:row r="40">
      <x:c r="A40" s="27" t="str">
        <x:v>02-07-02</x:v>
      </x:c>
      <x:c r="B40" s="27" t="str">
        <x:v>07</x:v>
      </x:c>
      <x:c r="C40" s="27" t="str">
        <x:v>02</x:v>
      </x:c>
      <x:c r="D40" s="28" t="n">
        <x:v>3068</x:v>
      </x:c>
      <x:c r="E40" s="28" t="n">
        <x:v>149</x:v>
      </x:c>
      <x:c r="F40" s="28" t="n">
        <x:f>E40/D40</x:f>
        <x:v>0.04856584093872229</x:v>
      </x:c>
      <x:c r="G40" s="28" t="n">
        <x:v>1311</x:v>
      </x:c>
      <x:c r="H40" s="28" t="n">
        <x:f>G40/D40</x:f>
        <x:v>0.4273142112125163</x:v>
      </x:c>
      <x:c r="I40" s="28" t="n">
        <x:v>1371</x:v>
      </x:c>
      <x:c r="J40" s="28" t="n">
        <x:f>I40/D40</x:f>
        <x:v>0.446870925684485</x:v>
      </x:c>
      <x:c r="K40" s="28" t="n">
        <x:v>1543</x:v>
      </x:c>
      <x:c r="L40" s="28" t="n">
        <x:f>K40/D40</x:f>
        <x:v>0.5029335071707953</x:v>
      </x:c>
      <x:c r="M40" s="28" t="n">
        <x:v>154</x:v>
      </x:c>
    </x:row>
    <x:row r="41">
      <x:c r="A41" s="27" t="str">
        <x:v>02-08-01</x:v>
      </x:c>
      <x:c r="B41" s="27" t="str">
        <x:v>08</x:v>
      </x:c>
      <x:c r="C41" s="27" t="str">
        <x:v>01</x:v>
      </x:c>
      <x:c r="D41" s="28" t="n">
        <x:v>41941</x:v>
      </x:c>
      <x:c r="E41" s="28" t="n">
        <x:v>10908</x:v>
      </x:c>
      <x:c r="F41" s="28" t="n">
        <x:f>E41/D41</x:f>
        <x:v>0.26007963567869147</x:v>
      </x:c>
      <x:c r="G41" s="28" t="n">
        <x:v>26013</x:v>
      </x:c>
      <x:c r="H41" s="28" t="n">
        <x:f>G41/D41</x:f>
        <x:v>0.6202284161083427</x:v>
      </x:c>
      <x:c r="I41" s="28" t="n">
        <x:v>29092</x:v>
      </x:c>
      <x:c r="J41" s="28" t="n">
        <x:f>I41/D41</x:f>
        <x:v>0.6936410672134665</x:v>
      </x:c>
      <x:c r="K41" s="28" t="n">
        <x:v>11550</x:v>
      </x:c>
      <x:c r="L41" s="28" t="n">
        <x:f>K41/D41</x:f>
        <x:v>0.2753868529601106</x:v>
      </x:c>
      <x:c r="M41" s="28" t="n">
        <x:v>1299</x:v>
      </x:c>
    </x:row>
    <x:row r="42">
      <x:c r="A42" s="27" t="str">
        <x:v>02-08-02</x:v>
      </x:c>
      <x:c r="B42" s="27" t="str">
        <x:v>08</x:v>
      </x:c>
      <x:c r="C42" s="27" t="str">
        <x:v>02</x:v>
      </x:c>
      <x:c r="D42" s="28" t="n">
        <x:v>3220</x:v>
      </x:c>
      <x:c r="E42" s="28" t="n">
        <x:v>178</x:v>
      </x:c>
      <x:c r="F42" s="28" t="n">
        <x:f>E42/D42</x:f>
        <x:v>0.055279503105590065</x:v>
      </x:c>
      <x:c r="G42" s="28" t="n">
        <x:v>1535</x:v>
      </x:c>
      <x:c r="H42" s="28" t="n">
        <x:f>G42/D42</x:f>
        <x:v>0.4767080745341615</x:v>
      </x:c>
      <x:c r="I42" s="28" t="n">
        <x:v>1573</x:v>
      </x:c>
      <x:c r="J42" s="28" t="n">
        <x:f>I42/D42</x:f>
        <x:v>0.48850931677018633</x:v>
      </x:c>
      <x:c r="K42" s="28" t="n">
        <x:v>1557</x:v>
      </x:c>
      <x:c r="L42" s="28" t="n">
        <x:f>K42/D42</x:f>
        <x:v>0.48354037267080746</x:v>
      </x:c>
      <x:c r="M42" s="28" t="n">
        <x:v>90</x:v>
      </x:c>
    </x:row>
    <x:row r="43">
      <x:c r="A43" s="27" t="str">
        <x:v>02-08-03</x:v>
      </x:c>
      <x:c r="B43" s="27" t="str">
        <x:v>08</x:v>
      </x:c>
      <x:c r="C43" s="27" t="str">
        <x:v>03</x:v>
      </x:c>
      <x:c r="D43" s="28" t="n">
        <x:v>4653</x:v>
      </x:c>
      <x:c r="E43" s="28" t="n">
        <x:v>126</x:v>
      </x:c>
      <x:c r="F43" s="28" t="n">
        <x:f>E43/D43</x:f>
        <x:v>0.027079303675048357</x:v>
      </x:c>
      <x:c r="G43" s="28" t="n">
        <x:v>1987</x:v>
      </x:c>
      <x:c r="H43" s="28" t="n">
        <x:f>G43/D43</x:f>
        <x:v>0.4270363206533419</x:v>
      </x:c>
      <x:c r="I43" s="28" t="n">
        <x:v>2023</x:v>
      </x:c>
      <x:c r="J43" s="28" t="n">
        <x:f>I43/D43</x:f>
        <x:v>0.4347732645604986</x:v>
      </x:c>
      <x:c r="K43" s="28" t="n">
        <x:v>2444</x:v>
      </x:c>
      <x:c r="L43" s="28" t="n">
        <x:f>K43/D43</x:f>
        <x:v>0.5252525252525253</x:v>
      </x:c>
      <x:c r="M43" s="28" t="n">
        <x:v>186</x:v>
      </x:c>
    </x:row>
    <x:row r="44">
      <x:c r="A44" s="27" t="str">
        <x:v>02-08-04</x:v>
      </x:c>
      <x:c r="B44" s="27" t="str">
        <x:v>08</x:v>
      </x:c>
      <x:c r="C44" s="27" t="str">
        <x:v>04</x:v>
      </x:c>
      <x:c r="D44" s="28" t="n">
        <x:v>2675</x:v>
      </x:c>
      <x:c r="E44" s="28" t="n">
        <x:v>277</x:v>
      </x:c>
      <x:c r="F44" s="28" t="n">
        <x:f>E44/D44</x:f>
        <x:v>0.10355140186915889</x:v>
      </x:c>
      <x:c r="G44" s="28" t="n">
        <x:v>1576</x:v>
      </x:c>
      <x:c r="H44" s="28" t="n">
        <x:f>G44/D44</x:f>
        <x:v>0.5891588785046729</x:v>
      </x:c>
      <x:c r="I44" s="28" t="n">
        <x:v>1629</x:v>
      </x:c>
      <x:c r="J44" s="28" t="n">
        <x:f>I44/D44</x:f>
        <x:v>0.6089719626168224</x:v>
      </x:c>
      <x:c r="K44" s="28" t="n">
        <x:v>964</x:v>
      </x:c>
      <x:c r="L44" s="28" t="n">
        <x:f>K44/D44</x:f>
        <x:v>0.3603738317757009</x:v>
      </x:c>
      <x:c r="M44" s="28" t="n">
        <x:v>82</x:v>
      </x:c>
    </x:row>
    <x:row r="45">
      <x:c r="A45" s="27" t="str">
        <x:v>02-08-05</x:v>
      </x:c>
      <x:c r="B45" s="27" t="str">
        <x:v>08</x:v>
      </x:c>
      <x:c r="C45" s="27" t="str">
        <x:v>05</x:v>
      </x:c>
      <x:c r="D45" s="28" t="n">
        <x:v>3114</x:v>
      </x:c>
      <x:c r="E45" s="28" t="n">
        <x:v>14</x:v>
      </x:c>
      <x:c r="F45" s="28" t="n">
        <x:f>E45/D45</x:f>
        <x:v>0.00449582530507386</x:v>
      </x:c>
      <x:c r="G45" s="28" t="n">
        <x:v>1302</x:v>
      </x:c>
      <x:c r="H45" s="28" t="n">
        <x:f>G45/D45</x:f>
        <x:v>0.41811175337186895</x:v>
      </x:c>
      <x:c r="I45" s="28" t="n">
        <x:v>1309</x:v>
      </x:c>
      <x:c r="J45" s="28" t="n">
        <x:f>I45/D45</x:f>
        <x:v>0.4203596660244059</x:v>
      </x:c>
      <x:c r="K45" s="28" t="n">
        <x:v>1678</x:v>
      </x:c>
      <x:c r="L45" s="28" t="n">
        <x:f>K45/D45</x:f>
        <x:v>0.5388567758509955</x:v>
      </x:c>
      <x:c r="M45" s="28" t="n">
        <x:v>127</x:v>
      </x:c>
    </x:row>
    <x:row r="46">
      <x:c r="A46" s="27" t="str">
        <x:v>02-08-06</x:v>
      </x:c>
      <x:c r="B46" s="27" t="str">
        <x:v>08</x:v>
      </x:c>
      <x:c r="C46" s="27" t="str">
        <x:v>06</x:v>
      </x:c>
      <x:c r="D46" s="28" t="n">
        <x:v>5887</x:v>
      </x:c>
      <x:c r="E46" s="28" t="n">
        <x:v>119</x:v>
      </x:c>
      <x:c r="F46" s="28" t="n">
        <x:f>E46/D46</x:f>
        <x:v>0.020214030915576695</x:v>
      </x:c>
      <x:c r="G46" s="28" t="n">
        <x:v>2371</x:v>
      </x:c>
      <x:c r="H46" s="28" t="n">
        <x:f>G46/D46</x:f>
        <x:v>0.40275182605741466</x:v>
      </x:c>
      <x:c r="I46" s="28" t="n">
        <x:v>2420</x:v>
      </x:c>
      <x:c r="J46" s="28" t="n">
        <x:f>I46/D46</x:f>
        <x:v>0.41107525055206384</x:v>
      </x:c>
      <x:c r="K46" s="28" t="n">
        <x:v>3196</x:v>
      </x:c>
      <x:c r="L46" s="28" t="n">
        <x:f>K46/D46</x:f>
        <x:v>0.5428911160183455</x:v>
      </x:c>
      <x:c r="M46" s="28" t="n">
        <x:v>271</x:v>
      </x:c>
    </x:row>
    <x:row r="47">
      <x:c r="A47" s="27" t="str">
        <x:v>02-08-07</x:v>
      </x:c>
      <x:c r="B47" s="27" t="str">
        <x:v>08</x:v>
      </x:c>
      <x:c r="C47" s="27" t="str">
        <x:v>07</x:v>
      </x:c>
      <x:c r="D47" s="28" t="n">
        <x:v>2562</x:v>
      </x:c>
      <x:c r="E47" s="28" t="n">
        <x:v>27</x:v>
      </x:c>
      <x:c r="F47" s="28" t="n">
        <x:f>E47/D47</x:f>
        <x:v>0.01053864168618267</x:v>
      </x:c>
      <x:c r="G47" s="28" t="n">
        <x:v>1111</x:v>
      </x:c>
      <x:c r="H47" s="28" t="n">
        <x:f>G47/D47</x:f>
        <x:v>0.4336455893832943</x:v>
      </x:c>
      <x:c r="I47" s="28" t="n">
        <x:v>1128</x:v>
      </x:c>
      <x:c r="J47" s="28" t="n">
        <x:f>I47/D47</x:f>
        <x:v>0.44028103044496486</x:v>
      </x:c>
      <x:c r="K47" s="28" t="n">
        <x:v>1330</x:v>
      </x:c>
      <x:c r="L47" s="28" t="n">
        <x:f>K47/D47</x:f>
        <x:v>0.5191256830601093</x:v>
      </x:c>
      <x:c r="M47" s="28" t="n">
        <x:v>104</x:v>
      </x:c>
    </x:row>
    <x:row r="48">
      <x:c r="A48" s="27" t="str">
        <x:v>02-09-01</x:v>
      </x:c>
      <x:c r="B48" s="27" t="str">
        <x:v>09</x:v>
      </x:c>
      <x:c r="C48" s="27" t="str">
        <x:v>01</x:v>
      </x:c>
      <x:c r="D48" s="28" t="n">
        <x:v>4434</x:v>
      </x:c>
      <x:c r="E48" s="28" t="n">
        <x:v>46</x:v>
      </x:c>
      <x:c r="F48" s="28" t="n">
        <x:f>E48/D48</x:f>
        <x:v>0.010374379792512404</x:v>
      </x:c>
      <x:c r="G48" s="28" t="n">
        <x:v>2103</x:v>
      </x:c>
      <x:c r="H48" s="28" t="n">
        <x:f>G48/D48</x:f>
        <x:v>0.4742895805142084</x:v>
      </x:c>
      <x:c r="I48" s="28" t="n">
        <x:v>2119</x:v>
      </x:c>
      <x:c r="J48" s="28" t="n">
        <x:f>I48/D48</x:f>
        <x:v>0.4778980604420388</x:v>
      </x:c>
      <x:c r="K48" s="28" t="n">
        <x:v>2170</x:v>
      </x:c>
      <x:c r="L48" s="28" t="n">
        <x:f>K48/D48</x:f>
        <x:v>0.4894000902119982</x:v>
      </x:c>
      <x:c r="M48" s="28" t="n">
        <x:v>145</x:v>
      </x:c>
    </x:row>
    <x:row r="49">
      <x:c r="A49" s="27" t="str">
        <x:v>02-09-02</x:v>
      </x:c>
      <x:c r="B49" s="27" t="str">
        <x:v>09</x:v>
      </x:c>
      <x:c r="C49" s="27" t="str">
        <x:v>02</x:v>
      </x:c>
      <x:c r="D49" s="28" t="n">
        <x:v>6638</x:v>
      </x:c>
      <x:c r="E49" s="28" t="n">
        <x:v>58</x:v>
      </x:c>
      <x:c r="F49" s="28" t="n">
        <x:f>E49/D49</x:f>
        <x:v>0.008737571557698103</x:v>
      </x:c>
      <x:c r="G49" s="28" t="n">
        <x:v>3580</x:v>
      </x:c>
      <x:c r="H49" s="28" t="n">
        <x:f>G49/D49</x:f>
        <x:v>0.5393190720096415</x:v>
      </x:c>
      <x:c r="I49" s="28" t="n">
        <x:v>3609</x:v>
      </x:c>
      <x:c r="J49" s="28" t="n">
        <x:f>I49/D49</x:f>
        <x:v>0.5436878577884905</x:v>
      </x:c>
      <x:c r="K49" s="28" t="n">
        <x:v>2836</x:v>
      </x:c>
      <x:c r="L49" s="28" t="n">
        <x:f>K49/D49</x:f>
        <x:v>0.4272371196143417</x:v>
      </x:c>
      <x:c r="M49" s="28" t="n">
        <x:v>193</x:v>
      </x:c>
    </x:row>
    <x:row r="50">
      <x:c r="A50" s="27" t="str">
        <x:v>02-09-03</x:v>
      </x:c>
      <x:c r="B50" s="27" t="str">
        <x:v>09</x:v>
      </x:c>
      <x:c r="C50" s="27" t="str">
        <x:v>03</x:v>
      </x:c>
      <x:c r="D50" s="28" t="n">
        <x:v>4142</x:v>
      </x:c>
      <x:c r="E50" s="28" t="n">
        <x:v>42</x:v>
      </x:c>
      <x:c r="F50" s="28" t="n">
        <x:f>E50/D50</x:f>
        <x:v>0.010140028971511348</x:v>
      </x:c>
      <x:c r="G50" s="28" t="n">
        <x:v>1585</x:v>
      </x:c>
      <x:c r="H50" s="28" t="n">
        <x:f>G50/D50</x:f>
        <x:v>0.3826653790439401</x:v>
      </x:c>
      <x:c r="I50" s="28" t="n">
        <x:v>1605</x:v>
      </x:c>
      <x:c r="J50" s="28" t="n">
        <x:f>I50/D50</x:f>
        <x:v>0.3874939642684693</x:v>
      </x:c>
      <x:c r="K50" s="28" t="n">
        <x:v>2285</x:v>
      </x:c>
      <x:c r="L50" s="28" t="n">
        <x:f>K50/D50</x:f>
        <x:v>0.5516658619024626</x:v>
      </x:c>
      <x:c r="M50" s="28" t="n">
        <x:v>252</x:v>
      </x:c>
    </x:row>
    <x:row r="51">
      <x:c r="A51" s="27" t="str">
        <x:v>02-09-04</x:v>
      </x:c>
      <x:c r="B51" s="27" t="str">
        <x:v>09</x:v>
      </x:c>
      <x:c r="C51" s="27" t="str">
        <x:v>04</x:v>
      </x:c>
      <x:c r="D51" s="28" t="n">
        <x:v>1777</x:v>
      </x:c>
      <x:c r="E51" s="28" t="n">
        <x:v>11</x:v>
      </x:c>
      <x:c r="F51" s="28" t="n">
        <x:f>E51/D51</x:f>
        <x:v>0.0061902082160945416</x:v>
      </x:c>
      <x:c r="G51" s="28" t="n">
        <x:v>709</x:v>
      </x:c>
      <x:c r="H51" s="28" t="n">
        <x:f>G51/D51</x:f>
        <x:v>0.39898705683736635</x:v>
      </x:c>
      <x:c r="I51" s="28" t="n">
        <x:v>713</x:v>
      </x:c>
      <x:c r="J51" s="28" t="n">
        <x:f>I51/D51</x:f>
        <x:v>0.4012380416432189</x:v>
      </x:c>
      <x:c r="K51" s="28" t="n">
        <x:v>991</x:v>
      </x:c>
      <x:c r="L51" s="28" t="n">
        <x:f>K51/D51</x:f>
        <x:v>0.5576814856499719</x:v>
      </x:c>
      <x:c r="M51" s="28" t="n">
        <x:v>73</x:v>
      </x:c>
    </x:row>
    <x:row r="52">
      <x:c r="A52" s="27" t="str">
        <x:v>02-09-05</x:v>
      </x:c>
      <x:c r="B52" s="27" t="str">
        <x:v>09</x:v>
      </x:c>
      <x:c r="C52" s="27" t="str">
        <x:v>05</x:v>
      </x:c>
      <x:c r="D52" s="28" t="n">
        <x:v>4892</x:v>
      </x:c>
      <x:c r="E52" s="28" t="n">
        <x:v>72</x:v>
      </x:c>
      <x:c r="F52" s="28" t="n">
        <x:f>E52/D52</x:f>
        <x:v>0.014717906786590351</x:v>
      </x:c>
      <x:c r="G52" s="28" t="n">
        <x:v>2332</x:v>
      </x:c>
      <x:c r="H52" s="28" t="n">
        <x:f>G52/D52</x:f>
        <x:v>0.4766966475878986</x:v>
      </x:c>
      <x:c r="I52" s="28" t="n">
        <x:v>2357</x:v>
      </x:c>
      <x:c r="J52" s="28" t="n">
        <x:f>I52/D52</x:f>
        <x:v>0.48180703188879803</x:v>
      </x:c>
      <x:c r="K52" s="28" t="n">
        <x:v>2350</x:v>
      </x:c>
      <x:c r="L52" s="28" t="n">
        <x:f>K52/D52</x:f>
        <x:v>0.4803761242845462</x:v>
      </x:c>
      <x:c r="M52" s="28" t="n">
        <x:v>185</x:v>
      </x:c>
    </x:row>
    <x:row r="53">
      <x:c r="A53" s="27" t="str">
        <x:v>02-10-01</x:v>
      </x:c>
      <x:c r="B53" s="27" t="str">
        <x:v>10</x:v>
      </x:c>
      <x:c r="C53" s="27" t="str">
        <x:v>01</x:v>
      </x:c>
      <x:c r="D53" s="28" t="n">
        <x:v>7144</x:v>
      </x:c>
      <x:c r="E53" s="28" t="n">
        <x:v>79</x:v>
      </x:c>
      <x:c r="F53" s="28" t="n">
        <x:f>E53/D53</x:f>
        <x:v>0.011058230683090706</x:v>
      </x:c>
      <x:c r="G53" s="28" t="n">
        <x:v>2955</x:v>
      </x:c>
      <x:c r="H53" s="28" t="n">
        <x:f>G53/D53</x:f>
        <x:v>0.41363381858902576</x:v>
      </x:c>
      <x:c r="I53" s="28" t="n">
        <x:v>2991</x:v>
      </x:c>
      <x:c r="J53" s="28" t="n">
        <x:f>I53/D53</x:f>
        <x:v>0.4186730123180291</x:v>
      </x:c>
      <x:c r="K53" s="28" t="n">
        <x:v>3850</x:v>
      </x:c>
      <x:c r="L53" s="28" t="n">
        <x:f>K53/D53</x:f>
        <x:v>0.5389137737961927</x:v>
      </x:c>
      <x:c r="M53" s="28" t="n">
        <x:v>303</x:v>
      </x:c>
    </x:row>
    <x:row r="54">
      <x:c r="A54" s="27" t="str">
        <x:v>02-10-02</x:v>
      </x:c>
      <x:c r="B54" s="27" t="str">
        <x:v>10</x:v>
      </x:c>
      <x:c r="C54" s="27" t="str">
        <x:v>02</x:v>
      </x:c>
      <x:c r="D54" s="28" t="n">
        <x:v>4434</x:v>
      </x:c>
      <x:c r="E54" s="28" t="n">
        <x:v>222</x:v>
      </x:c>
      <x:c r="F54" s="28" t="n">
        <x:f>E54/D54</x:f>
        <x:v>0.05006765899864682</x:v>
      </x:c>
      <x:c r="G54" s="28" t="n">
        <x:v>2477</x:v>
      </x:c>
      <x:c r="H54" s="28" t="n">
        <x:f>G54/D54</x:f>
        <x:v>0.5586377988272441</x:v>
      </x:c>
      <x:c r="I54" s="28" t="n">
        <x:v>2547</x:v>
      </x:c>
      <x:c r="J54" s="28" t="n">
        <x:f>I54/D54</x:f>
        <x:v>0.574424898511502</x:v>
      </x:c>
      <x:c r="K54" s="28" t="n">
        <x:v>1718</x:v>
      </x:c>
      <x:c r="L54" s="28" t="n">
        <x:f>K54/D54</x:f>
        <x:v>0.38746053225078936</x:v>
      </x:c>
      <x:c r="M54" s="28" t="n">
        <x:v>169</x:v>
      </x:c>
    </x:row>
    <x:row r="55">
      <x:c r="A55" s="27" t="str">
        <x:v>02-10-03</x:v>
      </x:c>
      <x:c r="B55" s="27" t="str">
        <x:v>10</x:v>
      </x:c>
      <x:c r="C55" s="27" t="str">
        <x:v>03</x:v>
      </x:c>
      <x:c r="D55" s="28" t="n">
        <x:v>5809</x:v>
      </x:c>
      <x:c r="E55" s="28" t="n">
        <x:v>249</x:v>
      </x:c>
      <x:c r="F55" s="28" t="n">
        <x:f>E55/D55</x:f>
        <x:v>0.04286452057152694</x:v>
      </x:c>
      <x:c r="G55" s="28" t="n">
        <x:v>3202</x:v>
      </x:c>
      <x:c r="H55" s="28" t="n">
        <x:f>G55/D55</x:f>
        <x:v>0.5512136340161818</x:v>
      </x:c>
      <x:c r="I55" s="28" t="n">
        <x:v>3284</x:v>
      </x:c>
      <x:c r="J55" s="28" t="n">
        <x:f>I55/D55</x:f>
        <x:v>0.5653296608710622</x:v>
      </x:c>
      <x:c r="K55" s="28" t="n">
        <x:v>2246</x:v>
      </x:c>
      <x:c r="L55" s="28" t="n">
        <x:f>K55/D55</x:f>
        <x:v>0.38664141848855227</x:v>
      </x:c>
      <x:c r="M55" s="28" t="n">
        <x:v>279</x:v>
      </x:c>
    </x:row>
    <x:row r="56">
      <x:c r="A56" s="27" t="str">
        <x:v>02-10-04</x:v>
      </x:c>
      <x:c r="B56" s="27" t="str">
        <x:v>10</x:v>
      </x:c>
      <x:c r="C56" s="27" t="str">
        <x:v>04</x:v>
      </x:c>
      <x:c r="D56" s="28" t="n">
        <x:v>7870</x:v>
      </x:c>
      <x:c r="E56" s="28" t="n">
        <x:v>912</x:v>
      </x:c>
      <x:c r="F56" s="28" t="n">
        <x:f>E56/D56</x:f>
        <x:v>0.11588310038119441</x:v>
      </x:c>
      <x:c r="G56" s="28" t="n">
        <x:v>4190</x:v>
      </x:c>
      <x:c r="H56" s="28" t="n">
        <x:f>G56/D56</x:f>
        <x:v>0.5324015247776366</x:v>
      </x:c>
      <x:c r="I56" s="28" t="n">
        <x:v>4410</x:v>
      </x:c>
      <x:c r="J56" s="28" t="n">
        <x:f>I56/D56</x:f>
        <x:v>0.5603557814485387</x:v>
      </x:c>
      <x:c r="K56" s="28" t="n">
        <x:v>3078</x:v>
      </x:c>
      <x:c r="L56" s="28" t="n">
        <x:f>K56/D56</x:f>
        <x:v>0.3911054637865311</x:v>
      </x:c>
      <x:c r="M56" s="28" t="n">
        <x:v>382</x:v>
      </x:c>
    </x:row>
    <x:row r="57">
      <x:c r="A57" s="27" t="str">
        <x:v>02-10-05</x:v>
      </x:c>
      <x:c r="B57" s="27" t="str">
        <x:v>10</x:v>
      </x:c>
      <x:c r="C57" s="27" t="str">
        <x:v>05</x:v>
      </x:c>
      <x:c r="D57" s="28" t="n">
        <x:v>3455</x:v>
      </x:c>
      <x:c r="E57" s="28" t="n">
        <x:v>29</x:v>
      </x:c>
      <x:c r="F57" s="28" t="n">
        <x:f>E57/D57</x:f>
        <x:v>0.008393632416787264</x:v>
      </x:c>
      <x:c r="G57" s="28" t="n">
        <x:v>1347</x:v>
      </x:c>
      <x:c r="H57" s="28" t="n">
        <x:f>G57/D57</x:f>
        <x:v>0.3898697539797395</x:v>
      </x:c>
      <x:c r="I57" s="28" t="n">
        <x:v>1365</x:v>
      </x:c>
      <x:c r="J57" s="28" t="n">
        <x:f>I57/D57</x:f>
        <x:v>0.3950795947901592</x:v>
      </x:c>
      <x:c r="K57" s="28" t="n">
        <x:v>1984</x:v>
      </x:c>
      <x:c r="L57" s="28" t="n">
        <x:f>K57/D57</x:f>
        <x:v>0.5742402315484805</x:v>
      </x:c>
      <x:c r="M57" s="28" t="n">
        <x:v>106</x:v>
      </x:c>
    </x:row>
    <x:row r="58">
      <x:c r="A58" s="27" t="str">
        <x:v>02-10-06</x:v>
      </x:c>
      <x:c r="B58" s="27" t="str">
        <x:v>10</x:v>
      </x:c>
      <x:c r="C58" s="27" t="str">
        <x:v>06</x:v>
      </x:c>
      <x:c r="D58" s="28" t="n">
        <x:v>1871</x:v>
      </x:c>
      <x:c r="E58" s="28" t="n">
        <x:v>84</x:v>
      </x:c>
      <x:c r="F58" s="28" t="n">
        <x:f>E58/D58</x:f>
        <x:v>0.04489577765900588</x:v>
      </x:c>
      <x:c r="G58" s="28" t="n">
        <x:v>922</x:v>
      </x:c>
      <x:c r="H58" s="28" t="n">
        <x:f>G58/D58</x:f>
        <x:v>0.4927846071619455</x:v>
      </x:c>
      <x:c r="I58" s="28" t="n">
        <x:v>955</x:v>
      </x:c>
      <x:c r="J58" s="28" t="n">
        <x:f>I58/D58</x:f>
        <x:v>0.5104222340994121</x:v>
      </x:c>
      <x:c r="K58" s="28" t="n">
        <x:v>805</x:v>
      </x:c>
      <x:c r="L58" s="28" t="n">
        <x:f>K58/D58</x:f>
        <x:v>0.430251202565473</x:v>
      </x:c>
      <x:c r="M58" s="28" t="n">
        <x:v>111</x:v>
      </x:c>
    </x:row>
    <x:row r="59">
      <x:c r="A59" s="27" t="str">
        <x:v>02-11-01</x:v>
      </x:c>
      <x:c r="B59" s="27" t="str">
        <x:v>11</x:v>
      </x:c>
      <x:c r="C59" s="27" t="str">
        <x:v>01</x:v>
      </x:c>
      <x:c r="D59" s="28" t="n">
        <x:v>7214</x:v>
      </x:c>
      <x:c r="E59" s="28" t="n">
        <x:v>413</x:v>
      </x:c>
      <x:c r="F59" s="28" t="n">
        <x:f>E59/D59</x:f>
        <x:v>0.05724979207097311</x:v>
      </x:c>
      <x:c r="G59" s="28" t="n">
        <x:v>4261</x:v>
      </x:c>
      <x:c r="H59" s="28" t="n">
        <x:f>G59/D59</x:f>
        <x:v>0.5906570557249792</x:v>
      </x:c>
      <x:c r="I59" s="28" t="n">
        <x:v>4361</x:v>
      </x:c>
      <x:c r="J59" s="28" t="n">
        <x:f>I59/D59</x:f>
        <x:v>0.6045189908511228</x:v>
      </x:c>
      <x:c r="K59" s="28" t="n">
        <x:v>2639</x:v>
      </x:c>
      <x:c r="L59" s="28" t="n">
        <x:f>K59/D59</x:f>
        <x:v>0.36581646797892986</x:v>
      </x:c>
      <x:c r="M59" s="28" t="n">
        <x:v>214</x:v>
      </x:c>
    </x:row>
    <x:row r="60">
      <x:c r="A60" s="27" t="str">
        <x:v>02-11-02</x:v>
      </x:c>
      <x:c r="B60" s="27" t="str">
        <x:v>11</x:v>
      </x:c>
      <x:c r="C60" s="27" t="str">
        <x:v>02</x:v>
      </x:c>
      <x:c r="D60" s="28" t="n">
        <x:v>9458</x:v>
      </x:c>
      <x:c r="E60" s="28" t="n">
        <x:v>232</x:v>
      </x:c>
      <x:c r="F60" s="28" t="n">
        <x:f>E60/D60</x:f>
        <x:v>0.024529498836963416</x:v>
      </x:c>
      <x:c r="G60" s="28" t="n">
        <x:v>5268</x:v>
      </x:c>
      <x:c r="H60" s="28" t="n">
        <x:f>G60/D60</x:f>
        <x:v>0.5569887925565659</x:v>
      </x:c>
      <x:c r="I60" s="28" t="n">
        <x:v>5357</x:v>
      </x:c>
      <x:c r="J60" s="28" t="n">
        <x:f>I60/D60</x:f>
        <x:v>0.5663988158172976</x:v>
      </x:c>
      <x:c r="K60" s="28" t="n">
        <x:v>3769</x:v>
      </x:c>
      <x:c r="L60" s="28" t="n">
        <x:f>K60/D60</x:f>
        <x:v>0.3984986255022203</x:v>
      </x:c>
      <x:c r="M60" s="28" t="n">
        <x:v>332</x:v>
      </x:c>
    </x:row>
    <x:row r="61">
      <x:c r="A61" s="27" t="str">
        <x:v>02-11-03</x:v>
      </x:c>
      <x:c r="B61" s="27" t="str">
        <x:v>11</x:v>
      </x:c>
      <x:c r="C61" s="27" t="str">
        <x:v>03</x:v>
      </x:c>
      <x:c r="D61" s="28" t="n">
        <x:v>2998</x:v>
      </x:c>
      <x:c r="E61" s="28" t="n">
        <x:v>114</x:v>
      </x:c>
      <x:c r="F61" s="28" t="n">
        <x:f>E61/D61</x:f>
        <x:v>0.03802535023348899</x:v>
      </x:c>
      <x:c r="G61" s="28" t="n">
        <x:v>2035</x:v>
      </x:c>
      <x:c r="H61" s="28" t="n">
        <x:f>G61/D61</x:f>
        <x:v>0.6787858572381588</x:v>
      </x:c>
      <x:c r="I61" s="28" t="n">
        <x:v>2060</x:v>
      </x:c>
      <x:c r="J61" s="28" t="n">
        <x:f>I61/D61</x:f>
        <x:v>0.6871247498332221</x:v>
      </x:c>
      <x:c r="K61" s="28" t="n">
        <x:v>845</x:v>
      </x:c>
      <x:c r="L61" s="28" t="n">
        <x:f>K61/D61</x:f>
        <x:v>0.2818545697131421</x:v>
      </x:c>
      <x:c r="M61" s="28" t="n">
        <x:v>93</x:v>
      </x:c>
    </x:row>
    <x:row r="62">
      <x:c r="A62" s="27" t="str">
        <x:v>02-11-04</x:v>
      </x:c>
      <x:c r="B62" s="27" t="str">
        <x:v>11</x:v>
      </x:c>
      <x:c r="C62" s="27" t="str">
        <x:v>04</x:v>
      </x:c>
      <x:c r="D62" s="28" t="n">
        <x:v>11630</x:v>
      </x:c>
      <x:c r="E62" s="28" t="n">
        <x:v>316</x:v>
      </x:c>
      <x:c r="F62" s="28" t="n">
        <x:f>E62/D62</x:f>
        <x:v>0.027171109200343938</x:v>
      </x:c>
      <x:c r="G62" s="28" t="n">
        <x:v>7025</x:v>
      </x:c>
      <x:c r="H62" s="28" t="n">
        <x:f>G62/D62</x:f>
        <x:v>0.6040412725709372</x:v>
      </x:c>
      <x:c r="I62" s="28" t="n">
        <x:v>7073</x:v>
      </x:c>
      <x:c r="J62" s="28" t="n">
        <x:f>I62/D62</x:f>
        <x:v>0.6081685296646604</x:v>
      </x:c>
      <x:c r="K62" s="28" t="n">
        <x:v>4179</x:v>
      </x:c>
      <x:c r="L62" s="28" t="n">
        <x:f>K62/D62</x:f>
        <x:v>0.35932932072227</x:v>
      </x:c>
      <x:c r="M62" s="28" t="n">
        <x:v>378</x:v>
      </x:c>
    </x:row>
    <x:row r="63">
      <x:c r="A63" s="27" t="str">
        <x:v>02-11-05</x:v>
      </x:c>
      <x:c r="B63" s="27" t="str">
        <x:v>11</x:v>
      </x:c>
      <x:c r="C63" s="27" t="str">
        <x:v>05</x:v>
      </x:c>
      <x:c r="D63" s="28" t="n">
        <x:v>18380</x:v>
      </x:c>
      <x:c r="E63" s="28" t="n">
        <x:v>781</x:v>
      </x:c>
      <x:c r="F63" s="28" t="n">
        <x:f>E63/D63</x:f>
        <x:v>0.04249183895538629</x:v>
      </x:c>
      <x:c r="G63" s="28" t="n">
        <x:v>9260</x:v>
      </x:c>
      <x:c r="H63" s="28" t="n">
        <x:f>G63/D63</x:f>
        <x:v>0.5038084874863983</x:v>
      </x:c>
      <x:c r="I63" s="28" t="n">
        <x:v>9483</x:v>
      </x:c>
      <x:c r="J63" s="28" t="n">
        <x:f>I63/D63</x:f>
        <x:v>0.5159412404787813</x:v>
      </x:c>
      <x:c r="K63" s="28" t="n">
        <x:v>8321</x:v>
      </x:c>
      <x:c r="L63" s="28" t="n">
        <x:f>K63/D63</x:f>
        <x:v>0.4527203482045702</x:v>
      </x:c>
      <x:c r="M63" s="28" t="n">
        <x:v>576</x:v>
      </x:c>
    </x:row>
    <x:row r="64">
      <x:c r="A64" s="27" t="str">
        <x:v>02-12-01</x:v>
      </x:c>
      <x:c r="B64" s="27" t="str">
        <x:v>12</x:v>
      </x:c>
      <x:c r="C64" s="27" t="str">
        <x:v>01</x:v>
      </x:c>
      <x:c r="D64" s="28" t="n">
        <x:v>21459</x:v>
      </x:c>
      <x:c r="E64" s="28" t="n">
        <x:v>1151</x:v>
      </x:c>
      <x:c r="F64" s="28" t="n">
        <x:f>E64/D64</x:f>
        <x:v>0.053637168553986675</x:v>
      </x:c>
      <x:c r="G64" s="28" t="n">
        <x:v>10301</x:v>
      </x:c>
      <x:c r="H64" s="28" t="n">
        <x:f>G64/D64</x:f>
        <x:v>0.4800316883358964</x:v>
      </x:c>
      <x:c r="I64" s="28" t="n">
        <x:v>10675</x:v>
      </x:c>
      <x:c r="J64" s="28" t="n">
        <x:f>I64/D64</x:f>
        <x:v>0.4974602730788946</x:v>
      </x:c>
      <x:c r="K64" s="28" t="n">
        <x:v>9890</x:v>
      </x:c>
      <x:c r="L64" s="28" t="n">
        <x:f>K64/D64</x:f>
        <x:v>0.4608788853161844</x:v>
      </x:c>
      <x:c r="M64" s="28" t="n">
        <x:v>894</x:v>
      </x:c>
    </x:row>
    <x:row r="65">
      <x:c r="A65" s="27" t="str">
        <x:v>02-12-02</x:v>
      </x:c>
      <x:c r="B65" s="27" t="str">
        <x:v>12</x:v>
      </x:c>
      <x:c r="C65" s="27" t="str">
        <x:v>02</x:v>
      </x:c>
      <x:c r="D65" s="28" t="n">
        <x:v>13613</x:v>
      </x:c>
      <x:c r="E65" s="28" t="n">
        <x:v>1187</x:v>
      </x:c>
      <x:c r="F65" s="28" t="n">
        <x:f>E65/D65</x:f>
        <x:v>0.0871960625872328</x:v>
      </x:c>
      <x:c r="G65" s="28" t="n">
        <x:v>6843</x:v>
      </x:c>
      <x:c r="H65" s="28" t="n">
        <x:f>G65/D65</x:f>
        <x:v>0.502681260559759</x:v>
      </x:c>
      <x:c r="I65" s="28" t="n">
        <x:v>7203</x:v>
      </x:c>
      <x:c r="J65" s="28" t="n">
        <x:f>I65/D65</x:f>
        <x:v>0.5291265701902593</x:v>
      </x:c>
      <x:c r="K65" s="28" t="n">
        <x:v>5908</x:v>
      </x:c>
      <x:c r="L65" s="28" t="n">
        <x:f>K65/D65</x:f>
        <x:v>0.43399691471387647</x:v>
      </x:c>
      <x:c r="M65" s="28" t="n">
        <x:v>502</x:v>
      </x:c>
    </x:row>
    <x:row r="66">
      <x:c r="A66" s="27" t="str">
        <x:v>02-12-03</x:v>
      </x:c>
      <x:c r="B66" s="27" t="str">
        <x:v>12</x:v>
      </x:c>
      <x:c r="C66" s="27" t="str">
        <x:v>03</x:v>
      </x:c>
      <x:c r="D66" s="28" t="n">
        <x:v>8503</x:v>
      </x:c>
      <x:c r="E66" s="28" t="n">
        <x:v>436</x:v>
      </x:c>
      <x:c r="F66" s="28" t="n">
        <x:f>E66/D66</x:f>
        <x:v>0.05127602022815477</x:v>
      </x:c>
      <x:c r="G66" s="28" t="n">
        <x:v>3824</x:v>
      </x:c>
      <x:c r="H66" s="28" t="n">
        <x:f>G66/D66</x:f>
        <x:v>0.4497236269551923</x:v>
      </x:c>
      <x:c r="I66" s="28" t="n">
        <x:v>3943</x:v>
      </x:c>
      <x:c r="J66" s="28" t="n">
        <x:f>I66/D66</x:f>
        <x:v>0.46371868752205103</x:v>
      </x:c>
      <x:c r="K66" s="28" t="n">
        <x:v>4209</x:v>
      </x:c>
      <x:c r="L66" s="28" t="n">
        <x:f>K66/D66</x:f>
        <x:v>0.49500176408326474</x:v>
      </x:c>
      <x:c r="M66" s="28" t="n">
        <x:v>351</x:v>
      </x:c>
    </x:row>
    <x:row r="67">
      <x:c r="A67" s="27" t="str">
        <x:v>02-12-04</x:v>
      </x:c>
      <x:c r="B67" s="27" t="str">
        <x:v>12</x:v>
      </x:c>
      <x:c r="C67" s="27" t="str">
        <x:v>04</x:v>
      </x:c>
      <x:c r="D67" s="28" t="n">
        <x:v>3188</x:v>
      </x:c>
      <x:c r="E67" s="28" t="n">
        <x:v>69</x:v>
      </x:c>
      <x:c r="F67" s="28" t="n">
        <x:f>E67/D67</x:f>
        <x:v>0.02164366373902133</x:v>
      </x:c>
      <x:c r="G67" s="28" t="n">
        <x:v>1086</x:v>
      </x:c>
      <x:c r="H67" s="28" t="n">
        <x:f>G67/D67</x:f>
        <x:v>0.34065244667503136</x:v>
      </x:c>
      <x:c r="I67" s="28" t="n">
        <x:v>1116</x:v>
      </x:c>
      <x:c r="J67" s="28" t="n">
        <x:f>I67/D67</x:f>
        <x:v>0.35006273525721454</x:v>
      </x:c>
      <x:c r="K67" s="28" t="n">
        <x:v>1917</x:v>
      </x:c>
      <x:c r="L67" s="28" t="n">
        <x:f>K67/D67</x:f>
        <x:v>0.6013174404015057</x:v>
      </x:c>
      <x:c r="M67" s="28" t="n">
        <x:v>155</x:v>
      </x:c>
    </x:row>
    <x:row r="68">
      <x:c r="A68" s="27" t="str">
        <x:v>02-13-01</x:v>
      </x:c>
      <x:c r="B68" s="27" t="str">
        <x:v>13</x:v>
      </x:c>
      <x:c r="C68" s="27" t="str">
        <x:v>01</x:v>
      </x:c>
      <x:c r="D68" s="28" t="n">
        <x:v>12627</x:v>
      </x:c>
      <x:c r="E68" s="28" t="n">
        <x:v>430</x:v>
      </x:c>
      <x:c r="F68" s="28" t="n">
        <x:f>E68/D68</x:f>
        <x:v>0.03405401124574325</x:v>
      </x:c>
      <x:c r="G68" s="28" t="n">
        <x:v>6071</x:v>
      </x:c>
      <x:c r="H68" s="28" t="n">
        <x:f>G68/D68</x:f>
        <x:v>0.4807951215649006</x:v>
      </x:c>
      <x:c r="I68" s="28" t="n">
        <x:v>6190</x:v>
      </x:c>
      <x:c r="J68" s="28" t="n">
        <x:f>I68/D68</x:f>
        <x:v>0.49021937118872255</x:v>
      </x:c>
      <x:c r="K68" s="28" t="n">
        <x:v>5782</x:v>
      </x:c>
      <x:c r="L68" s="28" t="n">
        <x:f>K68/D68</x:f>
        <x:v>0.4579076581927615</x:v>
      </x:c>
      <x:c r="M68" s="28" t="n">
        <x:v>655</x:v>
      </x:c>
    </x:row>
    <x:row r="69">
      <x:c r="A69" s="27" t="str">
        <x:v>02-13-02</x:v>
      </x:c>
      <x:c r="B69" s="27" t="str">
        <x:v>13</x:v>
      </x:c>
      <x:c r="C69" s="27" t="str">
        <x:v>02</x:v>
      </x:c>
      <x:c r="D69" s="28" t="n">
        <x:v>3921</x:v>
      </x:c>
      <x:c r="E69" s="28" t="n">
        <x:v>73</x:v>
      </x:c>
      <x:c r="F69" s="28" t="n">
        <x:f>E69/D69</x:f>
        <x:v>0.018617699566437135</x:v>
      </x:c>
      <x:c r="G69" s="28" t="n">
        <x:v>1816</x:v>
      </x:c>
      <x:c r="H69" s="28" t="n">
        <x:f>G69/D69</x:f>
        <x:v>0.46314715633766895</x:v>
      </x:c>
      <x:c r="I69" s="28" t="n">
        <x:v>1840</x:v>
      </x:c>
      <x:c r="J69" s="28" t="n">
        <x:f>I69/D69</x:f>
        <x:v>0.4692680438663606</x:v>
      </x:c>
      <x:c r="K69" s="28" t="n">
        <x:v>1839</x:v>
      </x:c>
      <x:c r="L69" s="28" t="n">
        <x:f>K69/D69</x:f>
        <x:v>0.46901300688599845</x:v>
      </x:c>
      <x:c r="M69" s="28" t="n">
        <x:v>242</x:v>
      </x:c>
    </x:row>
    <x:row r="70">
      <x:c r="A70" s="27" t="str">
        <x:v>02-13-03</x:v>
      </x:c>
      <x:c r="B70" s="27" t="str">
        <x:v>13</x:v>
      </x:c>
      <x:c r="C70" s="27" t="str">
        <x:v>03</x:v>
      </x:c>
      <x:c r="D70" s="28" t="n">
        <x:v>4794</x:v>
      </x:c>
      <x:c r="E70" s="28" t="n">
        <x:v>91</x:v>
      </x:c>
      <x:c r="F70" s="28" t="n">
        <x:f>E70/D70</x:f>
        <x:v>0.01898206090947017</x:v>
      </x:c>
      <x:c r="G70" s="28" t="n">
        <x:v>2178</x:v>
      </x:c>
      <x:c r="H70" s="28" t="n">
        <x:f>G70/D70</x:f>
        <x:v>0.45431789737171463</x:v>
      </x:c>
      <x:c r="I70" s="28" t="n">
        <x:v>2209</x:v>
      </x:c>
      <x:c r="J70" s="28" t="n">
        <x:f>I70/D70</x:f>
        <x:v>0.46078431372549017</x:v>
      </x:c>
      <x:c r="K70" s="28" t="n">
        <x:v>2422</x:v>
      </x:c>
      <x:c r="L70" s="28" t="n">
        <x:f>K70/D70</x:f>
        <x:v>0.5052148518982061</x:v>
      </x:c>
      <x:c r="M70" s="28" t="n">
        <x:v>163</x:v>
      </x:c>
    </x:row>
    <x:row r="71">
      <x:c r="A71" s="27" t="str">
        <x:v>02-13-04</x:v>
      </x:c>
      <x:c r="B71" s="27" t="str">
        <x:v>13</x:v>
      </x:c>
      <x:c r="C71" s="27" t="str">
        <x:v>04</x:v>
      </x:c>
      <x:c r="D71" s="28" t="n">
        <x:v>5467</x:v>
      </x:c>
      <x:c r="E71" s="28" t="n">
        <x:v>195</x:v>
      </x:c>
      <x:c r="F71" s="28" t="n">
        <x:f>E71/D71</x:f>
        <x:v>0.03566855679531736</x:v>
      </x:c>
      <x:c r="G71" s="28" t="n">
        <x:v>2468</x:v>
      </x:c>
      <x:c r="H71" s="28" t="n">
        <x:f>G71/D71</x:f>
        <x:v>0.45143588805560636</x:v>
      </x:c>
      <x:c r="I71" s="28" t="n">
        <x:v>2527</x:v>
      </x:c>
      <x:c r="J71" s="28" t="n">
        <x:f>I71/D71</x:f>
        <x:v>0.4622279129321383</x:v>
      </x:c>
      <x:c r="K71" s="28" t="n">
        <x:v>2705</x:v>
      </x:c>
      <x:c r="L71" s="28" t="n">
        <x:f>K71/D71</x:f>
        <x:v>0.4947869032376075</x:v>
      </x:c>
      <x:c r="M71" s="28" t="n">
        <x:v>235</x:v>
      </x:c>
    </x:row>
    <x:row r="72">
      <x:c r="A72" s="27" t="str">
        <x:v>02-13-05</x:v>
      </x:c>
      <x:c r="B72" s="27" t="str">
        <x:v>13</x:v>
      </x:c>
      <x:c r="C72" s="27" t="str">
        <x:v>05</x:v>
      </x:c>
      <x:c r="D72" s="28" t="n">
        <x:v>9347</x:v>
      </x:c>
      <x:c r="E72" s="28" t="n">
        <x:v>1386</x:v>
      </x:c>
      <x:c r="F72" s="28" t="n">
        <x:f>E72/D72</x:f>
        <x:v>0.14828287150957525</x:v>
      </x:c>
      <x:c r="G72" s="28" t="n">
        <x:v>4972</x:v>
      </x:c>
      <x:c r="H72" s="28" t="n">
        <x:f>G72/D72</x:f>
        <x:v>0.5319353803359367</x:v>
      </x:c>
      <x:c r="I72" s="28" t="n">
        <x:v>5382</x:v>
      </x:c>
      <x:c r="J72" s="28" t="n">
        <x:f>I72/D72</x:f>
        <x:v>0.5757997218358831</x:v>
      </x:c>
      <x:c r="K72" s="28" t="n">
        <x:v>3639</x:v>
      </x:c>
      <x:c r="L72" s="28" t="n">
        <x:f>K72/D72</x:f>
        <x:v>0.38932277736172033</x:v>
      </x:c>
      <x:c r="M72" s="28" t="n">
        <x:v>326</x:v>
      </x:c>
    </x:row>
    <x:row r="73">
      <x:c r="A73" s="27" t="str">
        <x:v>02-13-06</x:v>
      </x:c>
      <x:c r="B73" s="27" t="str">
        <x:v>13</x:v>
      </x:c>
      <x:c r="C73" s="27" t="str">
        <x:v>06</x:v>
      </x:c>
      <x:c r="D73" s="28" t="n">
        <x:v>4480</x:v>
      </x:c>
      <x:c r="E73" s="28" t="n">
        <x:v>183</x:v>
      </x:c>
      <x:c r="F73" s="28" t="n">
        <x:f>E73/D73</x:f>
        <x:v>0.040848214285714286</x:v>
      </x:c>
      <x:c r="G73" s="28" t="n">
        <x:v>2109</x:v>
      </x:c>
      <x:c r="H73" s="28" t="n">
        <x:f>G73/D73</x:f>
        <x:v>0.4707589285714286</x:v>
      </x:c>
      <x:c r="I73" s="28" t="n">
        <x:v>2166</x:v>
      </x:c>
      <x:c r="J73" s="28" t="n">
        <x:f>I73/D73</x:f>
        <x:v>0.48348214285714286</x:v>
      </x:c>
      <x:c r="K73" s="28" t="n">
        <x:v>2130</x:v>
      </x:c>
      <x:c r="L73" s="28" t="n">
        <x:f>K73/D73</x:f>
        <x:v>0.47544642857142855</x:v>
      </x:c>
      <x:c r="M73" s="28" t="n">
        <x:v>184</x:v>
      </x:c>
    </x:row>
    <x:row r="74">
      <x:c r="A74" s="27" t="str">
        <x:v>02-13-07</x:v>
      </x:c>
      <x:c r="B74" s="27" t="str">
        <x:v>13</x:v>
      </x:c>
      <x:c r="C74" s="27" t="str">
        <x:v>07</x:v>
      </x:c>
      <x:c r="D74" s="28" t="n">
        <x:v>1653</x:v>
      </x:c>
      <x:c r="E74" s="28" t="n">
        <x:v>51</x:v>
      </x:c>
      <x:c r="F74" s="28" t="n">
        <x:f>E74/D74</x:f>
        <x:v>0.030852994555353903</x:v>
      </x:c>
      <x:c r="G74" s="28" t="n">
        <x:v>884</x:v>
      </x:c>
      <x:c r="H74" s="28" t="n">
        <x:f>G74/D74</x:f>
        <x:v>0.5347852389594676</x:v>
      </x:c>
      <x:c r="I74" s="28" t="n">
        <x:v>902</x:v>
      </x:c>
      <x:c r="J74" s="28" t="n">
        <x:f>I74/D74</x:f>
        <x:v>0.5456745311554749</x:v>
      </x:c>
      <x:c r="K74" s="28" t="n">
        <x:v>661</x:v>
      </x:c>
      <x:c r="L74" s="28" t="n">
        <x:f>K74/D74</x:f>
        <x:v>0.3998790078644888</x:v>
      </x:c>
      <x:c r="M74" s="28" t="n">
        <x:v>90</x:v>
      </x:c>
    </x:row>
    <x:row r="75">
      <x:c r="A75" s="27" t="str">
        <x:v>02-14-01</x:v>
      </x:c>
      <x:c r="B75" s="27" t="str">
        <x:v>14</x:v>
      </x:c>
      <x:c r="C75" s="27" t="str">
        <x:v>01</x:v>
      </x:c>
      <x:c r="D75" s="28" t="n">
        <x:v>10376</x:v>
      </x:c>
      <x:c r="E75" s="28" t="n">
        <x:v>521</x:v>
      </x:c>
      <x:c r="F75" s="28" t="n">
        <x:f>E75/D75</x:f>
        <x:v>0.050212027756360834</x:v>
      </x:c>
      <x:c r="G75" s="28" t="n">
        <x:v>6342</x:v>
      </x:c>
      <x:c r="H75" s="28" t="n">
        <x:f>G75/D75</x:f>
        <x:v>0.6112181958365459</x:v>
      </x:c>
      <x:c r="I75" s="28" t="n">
        <x:v>6461</x:v>
      </x:c>
      <x:c r="J75" s="28" t="n">
        <x:f>I75/D75</x:f>
        <x:v>0.6226869699306091</x:v>
      </x:c>
      <x:c r="K75" s="28" t="n">
        <x:v>3566</x:v>
      </x:c>
      <x:c r="L75" s="28" t="n">
        <x:f>K75/D75</x:f>
        <x:v>0.3436777178103315</x:v>
      </x:c>
      <x:c r="M75" s="28" t="n">
        <x:v>349</x:v>
      </x:c>
    </x:row>
    <x:row r="76">
      <x:c r="A76" s="27" t="str">
        <x:v>02-14-02</x:v>
      </x:c>
      <x:c r="B76" s="27" t="str">
        <x:v>14</x:v>
      </x:c>
      <x:c r="C76" s="27" t="str">
        <x:v>02</x:v>
      </x:c>
      <x:c r="D76" s="28" t="n">
        <x:v>8913</x:v>
      </x:c>
      <x:c r="E76" s="28" t="n">
        <x:v>331</x:v>
      </x:c>
      <x:c r="F76" s="28" t="n">
        <x:f>E76/D76</x:f>
        <x:v>0.0371367665208123</x:v>
      </x:c>
      <x:c r="G76" s="28" t="n">
        <x:v>4967</x:v>
      </x:c>
      <x:c r="H76" s="28" t="n">
        <x:f>G76/D76</x:f>
        <x:v>0.5572758891506788</x:v>
      </x:c>
      <x:c r="I76" s="28" t="n">
        <x:v>5054</x:v>
      </x:c>
      <x:c r="J76" s="28" t="n">
        <x:f>I76/D76</x:f>
        <x:v>0.5670369123751823</x:v>
      </x:c>
      <x:c r="K76" s="28" t="n">
        <x:v>3552</x:v>
      </x:c>
      <x:c r="L76" s="28" t="n">
        <x:f>K76/D76</x:f>
        <x:v>0.3985190171659374</x:v>
      </x:c>
      <x:c r="M76" s="28" t="n">
        <x:v>307</x:v>
      </x:c>
    </x:row>
    <x:row r="77">
      <x:c r="A77" s="27" t="str">
        <x:v>02-15-01</x:v>
      </x:c>
      <x:c r="B77" s="27" t="str">
        <x:v>15</x:v>
      </x:c>
      <x:c r="C77" s="27" t="str">
        <x:v>01</x:v>
      </x:c>
      <x:c r="D77" s="28" t="n">
        <x:v>3306</x:v>
      </x:c>
      <x:c r="E77" s="28" t="n">
        <x:v>170</x:v>
      </x:c>
      <x:c r="F77" s="28" t="n">
        <x:f>E77/D77</x:f>
        <x:v>0.0514216575922565</x:v>
      </x:c>
      <x:c r="G77" s="28" t="n">
        <x:v>1430</x:v>
      </x:c>
      <x:c r="H77" s="28" t="n">
        <x:f>G77/D77</x:f>
        <x:v>0.4325468844525106</x:v>
      </x:c>
      <x:c r="I77" s="28" t="n">
        <x:v>1467</x:v>
      </x:c>
      <x:c r="J77" s="28" t="n">
        <x:f>I77/D77</x:f>
        <x:v>0.4437386569872958</x:v>
      </x:c>
      <x:c r="K77" s="28" t="n">
        <x:v>1606</x:v>
      </x:c>
      <x:c r="L77" s="28" t="n">
        <x:f>K77/D77</x:f>
        <x:v>0.48578342407743497</x:v>
      </x:c>
      <x:c r="M77" s="28" t="n">
        <x:v>233</x:v>
      </x:c>
    </x:row>
    <x:row r="78">
      <x:c r="A78" s="27" t="str">
        <x:v>02-15-02</x:v>
      </x:c>
      <x:c r="B78" s="27" t="str">
        <x:v>15</x:v>
      </x:c>
      <x:c r="C78" s="27" t="str">
        <x:v>02</x:v>
      </x:c>
      <x:c r="D78" s="28" t="n">
        <x:v>2849</x:v>
      </x:c>
      <x:c r="E78" s="28" t="n">
        <x:v>419</x:v>
      </x:c>
      <x:c r="F78" s="28" t="n">
        <x:f>E78/D78</x:f>
        <x:v>0.14706914706914706</x:v>
      </x:c>
      <x:c r="G78" s="28" t="n">
        <x:v>1829</x:v>
      </x:c>
      <x:c r="H78" s="28" t="n">
        <x:f>G78/D78</x:f>
        <x:v>0.641979641979642</x:v>
      </x:c>
      <x:c r="I78" s="28" t="n">
        <x:v>1932</x:v>
      </x:c>
      <x:c r="J78" s="28" t="n">
        <x:f>I78/D78</x:f>
        <x:v>0.6781326781326781</x:v>
      </x:c>
      <x:c r="K78" s="28" t="n">
        <x:v>788</x:v>
      </x:c>
      <x:c r="L78" s="28" t="n">
        <x:f>K78/D78</x:f>
        <x:v>0.2765882765882766</x:v>
      </x:c>
      <x:c r="M78" s="28" t="n">
        <x:v>129</x:v>
      </x:c>
    </x:row>
    <x:row r="79">
      <x:c r="A79" s="27" t="str">
        <x:v>02-16-01</x:v>
      </x:c>
      <x:c r="B79" s="27" t="str">
        <x:v>16</x:v>
      </x:c>
      <x:c r="C79" s="27" t="str">
        <x:v>01</x:v>
      </x:c>
      <x:c r="D79" s="28" t="n">
        <x:v>5022</x:v>
      </x:c>
      <x:c r="E79" s="28" t="n">
        <x:v>104</x:v>
      </x:c>
      <x:c r="F79" s="28" t="n">
        <x:f>E79/D79</x:f>
        <x:v>0.020708880923934688</x:v>
      </x:c>
      <x:c r="G79" s="28" t="n">
        <x:v>1748</x:v>
      </x:c>
      <x:c r="H79" s="28" t="n">
        <x:f>G79/D79</x:f>
        <x:v>0.34806849860613304</x:v>
      </x:c>
      <x:c r="I79" s="28" t="n">
        <x:v>1788</x:v>
      </x:c>
      <x:c r="J79" s="28" t="n">
        <x:f>I79/D79</x:f>
        <x:v>0.35603345280764637</x:v>
      </x:c>
      <x:c r="K79" s="28" t="n">
        <x:v>3003</x:v>
      </x:c>
      <x:c r="L79" s="28" t="n">
        <x:f>K79/D79</x:f>
        <x:v>0.5979689366786141</x:v>
      </x:c>
      <x:c r="M79" s="28" t="n">
        <x:v>231</x:v>
      </x:c>
    </x:row>
    <x:row r="80">
      <x:c r="A80" s="27" t="str">
        <x:v>02-16-02</x:v>
      </x:c>
      <x:c r="B80" s="27" t="str">
        <x:v>16</x:v>
      </x:c>
      <x:c r="C80" s="27" t="str">
        <x:v>02</x:v>
      </x:c>
      <x:c r="D80" s="28" t="n">
        <x:v>1656</x:v>
      </x:c>
      <x:c r="E80" s="28" t="n">
        <x:v>24</x:v>
      </x:c>
      <x:c r="F80" s="28" t="n">
        <x:f>E80/D80</x:f>
        <x:v>0.014492753623188406</x:v>
      </x:c>
      <x:c r="G80" s="28" t="n">
        <x:v>553</x:v>
      </x:c>
      <x:c r="H80" s="28" t="n">
        <x:f>G80/D80</x:f>
        <x:v>0.33393719806763283</x:v>
      </x:c>
      <x:c r="I80" s="28" t="n">
        <x:v>563</x:v>
      </x:c>
      <x:c r="J80" s="28" t="n">
        <x:f>I80/D80</x:f>
        <x:v>0.33997584541062803</x:v>
      </x:c>
      <x:c r="K80" s="28" t="n">
        <x:v>999</x:v>
      </x:c>
      <x:c r="L80" s="28" t="n">
        <x:f>K80/D80</x:f>
        <x:v>0.6032608695652174</x:v>
      </x:c>
      <x:c r="M80" s="28" t="n">
        <x:v>94</x:v>
      </x:c>
    </x:row>
    <x:row r="81">
      <x:c r="A81" s="27" t="str">
        <x:v>02-17-01</x:v>
      </x:c>
      <x:c r="B81" s="27" t="str">
        <x:v>17</x:v>
      </x:c>
      <x:c r="C81" s="27" t="str">
        <x:v>01</x:v>
      </x:c>
      <x:c r="D81" s="28" t="n">
        <x:v>6817</x:v>
      </x:c>
      <x:c r="E81" s="28" t="n">
        <x:v>766</x:v>
      </x:c>
      <x:c r="F81" s="28" t="n">
        <x:f>E81/D81</x:f>
        <x:v>0.11236614346486724</x:v>
      </x:c>
      <x:c r="G81" s="28" t="n">
        <x:v>3432</x:v>
      </x:c>
      <x:c r="H81" s="28" t="n">
        <x:f>G81/D81</x:f>
        <x:v>0.50344726419246</x:v>
      </x:c>
      <x:c r="I81" s="28" t="n">
        <x:v>3652</x:v>
      </x:c>
      <x:c r="J81" s="28" t="n">
        <x:f>I81/D81</x:f>
        <x:v>0.5357195247176177</x:v>
      </x:c>
      <x:c r="K81" s="28" t="n">
        <x:v>2913</x:v>
      </x:c>
      <x:c r="L81" s="28" t="n">
        <x:f>K81/D81</x:f>
        <x:v>0.42731406777174713</x:v>
      </x:c>
      <x:c r="M81" s="28" t="n">
        <x:v>252</x:v>
      </x:c>
    </x:row>
    <x:row r="82">
      <x:c r="A82" s="27" t="str">
        <x:v>02-17-02</x:v>
      </x:c>
      <x:c r="B82" s="27" t="str">
        <x:v>17</x:v>
      </x:c>
      <x:c r="C82" s="27" t="str">
        <x:v>02</x:v>
      </x:c>
      <x:c r="D82" s="28" t="n">
        <x:v>3631</x:v>
      </x:c>
      <x:c r="E82" s="28" t="n">
        <x:v>189</x:v>
      </x:c>
      <x:c r="F82" s="28" t="n">
        <x:f>E82/D82</x:f>
        <x:v>0.052051776370145963</x:v>
      </x:c>
      <x:c r="G82" s="28" t="n">
        <x:v>1884</x:v>
      </x:c>
      <x:c r="H82" s="28" t="n">
        <x:f>G82/D82</x:f>
        <x:v>0.5188653263563756</x:v>
      </x:c>
      <x:c r="I82" s="28" t="n">
        <x:v>1921</x:v>
      </x:c>
      <x:c r="J82" s="28" t="n">
        <x:f>I82/D82</x:f>
        <x:v>0.5290553566510603</x:v>
      </x:c>
      <x:c r="K82" s="28" t="n">
        <x:v>1593</x:v>
      </x:c>
      <x:c r="L82" s="28" t="n">
        <x:f>K82/D82</x:f>
        <x:v>0.4387221151198017</x:v>
      </x:c>
      <x:c r="M82" s="28" t="n">
        <x:v>117</x:v>
      </x:c>
    </x:row>
    <x:row r="83">
      <x:c r="A83" s="27" t="str">
        <x:v>02-17-03</x:v>
      </x:c>
      <x:c r="B83" s="27" t="str">
        <x:v>17</x:v>
      </x:c>
      <x:c r="C83" s="27" t="str">
        <x:v>03</x:v>
      </x:c>
      <x:c r="D83" s="28" t="n">
        <x:v>1474</x:v>
      </x:c>
      <x:c r="E83" s="28" t="n">
        <x:v>34</x:v>
      </x:c>
      <x:c r="F83" s="28" t="n">
        <x:f>E83/D83</x:f>
        <x:v>0.023066485753052916</x:v>
      </x:c>
      <x:c r="G83" s="28" t="n">
        <x:v>588</x:v>
      </x:c>
      <x:c r="H83" s="28" t="n">
        <x:f>G83/D83</x:f>
        <x:v>0.3989145183175034</x:v>
      </x:c>
      <x:c r="I83" s="28" t="n">
        <x:v>600</x:v>
      </x:c>
      <x:c r="J83" s="28" t="n">
        <x:f>I83/D83</x:f>
        <x:v>0.40705563093622793</x:v>
      </x:c>
      <x:c r="K83" s="28" t="n">
        <x:v>807</x:v>
      </x:c>
      <x:c r="L83" s="28" t="n">
        <x:f>K83/D83</x:f>
        <x:v>0.5474898236092266</x:v>
      </x:c>
      <x:c r="M83" s="28" t="n">
        <x:v>67</x:v>
      </x:c>
    </x:row>
    <x:row r="84">
      <x:c r="A84" s="27" t="str">
        <x:v>02-18-01</x:v>
      </x:c>
      <x:c r="B84" s="27" t="str">
        <x:v>18</x:v>
      </x:c>
      <x:c r="C84" s="27" t="str">
        <x:v>01</x:v>
      </x:c>
      <x:c r="D84" s="28" t="n">
        <x:v>3484</x:v>
      </x:c>
      <x:c r="E84" s="28" t="n">
        <x:v>27</x:v>
      </x:c>
      <x:c r="F84" s="28" t="n">
        <x:f>E84/D84</x:f>
        <x:v>0.007749712973593571</x:v>
      </x:c>
      <x:c r="G84" s="28" t="n">
        <x:v>1470</x:v>
      </x:c>
      <x:c r="H84" s="28" t="n">
        <x:f>G84/D84</x:f>
        <x:v>0.42192881745120553</x:v>
      </x:c>
      <x:c r="I84" s="28" t="n">
        <x:v>1482</x:v>
      </x:c>
      <x:c r="J84" s="28" t="n">
        <x:f>I84/D84</x:f>
        <x:v>0.4253731343283582</x:v>
      </x:c>
      <x:c r="K84" s="28" t="n">
        <x:v>1794</x:v>
      </x:c>
      <x:c r="L84" s="28" t="n">
        <x:f>K84/D84</x:f>
        <x:v>0.5149253731343284</x:v>
      </x:c>
      <x:c r="M84" s="28" t="n">
        <x:v>208</x:v>
      </x:c>
    </x:row>
    <x:row r="85">
      <x:c r="A85" s="27" t="str">
        <x:v>02-18-02</x:v>
      </x:c>
      <x:c r="B85" s="27" t="str">
        <x:v>18</x:v>
      </x:c>
      <x:c r="C85" s="27" t="str">
        <x:v>02</x:v>
      </x:c>
      <x:c r="D85" s="28" t="n">
        <x:v>2888</x:v>
      </x:c>
      <x:c r="E85" s="28" t="n">
        <x:v>33</x:v>
      </x:c>
      <x:c r="F85" s="28" t="n">
        <x:f>E85/D85</x:f>
        <x:v>0.011426592797783934</x:v>
      </x:c>
      <x:c r="G85" s="28" t="n">
        <x:v>1463</x:v>
      </x:c>
      <x:c r="H85" s="28" t="n">
        <x:f>G85/D85</x:f>
        <x:v>0.506578947368421</x:v>
      </x:c>
      <x:c r="I85" s="28" t="n">
        <x:v>1478</x:v>
      </x:c>
      <x:c r="J85" s="28" t="n">
        <x:f>I85/D85</x:f>
        <x:v>0.5117728531855956</x:v>
      </x:c>
      <x:c r="K85" s="28" t="n">
        <x:v>1287</x:v>
      </x:c>
      <x:c r="L85" s="28" t="n">
        <x:f>K85/D85</x:f>
        <x:v>0.4456371191135734</x:v>
      </x:c>
      <x:c r="M85" s="28" t="n">
        <x:v>123</x:v>
      </x:c>
    </x:row>
    <x:row r="86">
      <x:c r="A86" s="27" t="str">
        <x:v>02-18-03</x:v>
      </x:c>
      <x:c r="B86" s="27" t="str">
        <x:v>18</x:v>
      </x:c>
      <x:c r="C86" s="27" t="str">
        <x:v>03</x:v>
      </x:c>
      <x:c r="D86" s="28" t="n">
        <x:v>881</x:v>
      </x:c>
      <x:c r="E86" s="28" t="n">
        <x:v>8</x:v>
      </x:c>
      <x:c r="F86" s="28" t="n">
        <x:f>E86/D86</x:f>
        <x:v>0.009080590238365494</x:v>
      </x:c>
      <x:c r="G86" s="28" t="n">
        <x:v>423</x:v>
      </x:c>
      <x:c r="H86" s="28" t="n">
        <x:f>G86/D86</x:f>
        <x:v>0.4801362088535755</x:v>
      </x:c>
      <x:c r="I86" s="28" t="n">
        <x:v>426</x:v>
      </x:c>
      <x:c r="J86" s="28" t="n">
        <x:f>I86/D86</x:f>
        <x:v>0.48354143019296253</x:v>
      </x:c>
      <x:c r="K86" s="28" t="n">
        <x:v>432</x:v>
      </x:c>
      <x:c r="L86" s="28" t="n">
        <x:f>K86/D86</x:f>
        <x:v>0.49035187287173665</x:v>
      </x:c>
      <x:c r="M86" s="28" t="n">
        <x:v>23</x:v>
      </x:c>
    </x:row>
    <x:row r="87">
      <x:c r="A87" s="27" t="str">
        <x:v>02-19-01</x:v>
      </x:c>
      <x:c r="B87" s="27" t="str">
        <x:v>19</x:v>
      </x:c>
      <x:c r="C87" s="27" t="str">
        <x:v>01</x:v>
      </x:c>
      <x:c r="D87" s="28" t="n">
        <x:v>2956</x:v>
      </x:c>
      <x:c r="E87" s="28" t="n">
        <x:v>18</x:v>
      </x:c>
      <x:c r="F87" s="28" t="n">
        <x:f>E87/D87</x:f>
        <x:v>0.006089309878213802</x:v>
      </x:c>
      <x:c r="G87" s="28" t="n">
        <x:v>1339</x:v>
      </x:c>
      <x:c r="H87" s="28" t="n">
        <x:f>G87/D87</x:f>
        <x:v>0.4529769959404601</x:v>
      </x:c>
      <x:c r="I87" s="28" t="n">
        <x:v>1350</x:v>
      </x:c>
      <x:c r="J87" s="28" t="n">
        <x:f>I87/D87</x:f>
        <x:v>0.45669824086603517</x:v>
      </x:c>
      <x:c r="K87" s="28" t="n">
        <x:v>1501</x:v>
      </x:c>
      <x:c r="L87" s="28" t="n">
        <x:f>K87/D87</x:f>
        <x:v>0.5077807848443843</x:v>
      </x:c>
      <x:c r="M87" s="28" t="n">
        <x:v>105</x:v>
      </x:c>
    </x:row>
    <x:row r="88">
      <x:c r="A88" s="27" t="str">
        <x:v>02-19-02</x:v>
      </x:c>
      <x:c r="B88" s="27" t="str">
        <x:v>19</x:v>
      </x:c>
      <x:c r="C88" s="27" t="str">
        <x:v>02</x:v>
      </x:c>
      <x:c r="D88" s="28" t="n">
        <x:v>1695</x:v>
      </x:c>
      <x:c r="E88" s="28" t="n">
        <x:v>23</x:v>
      </x:c>
      <x:c r="F88" s="28" t="n">
        <x:f>E88/D88</x:f>
        <x:v>0.013569321533923304</x:v>
      </x:c>
      <x:c r="G88" s="28" t="n">
        <x:v>733</x:v>
      </x:c>
      <x:c r="H88" s="28" t="n">
        <x:f>G88/D88</x:f>
        <x:v>0.4324483775811209</x:v>
      </x:c>
      <x:c r="I88" s="28" t="n">
        <x:v>746</x:v>
      </x:c>
      <x:c r="J88" s="28" t="n">
        <x:f>I88/D88</x:f>
        <x:v>0.440117994100295</x:v>
      </x:c>
      <x:c r="K88" s="28" t="n">
        <x:v>886</x:v>
      </x:c>
      <x:c r="L88" s="28" t="n">
        <x:f>K88/D88</x:f>
        <x:v>0.5227138643067847</x:v>
      </x:c>
      <x:c r="M88" s="28" t="n">
        <x:v>63</x:v>
      </x:c>
    </x:row>
    <x:row r="89">
      <x:c r="A89" s="27" t="str">
        <x:v>02-20-01</x:v>
      </x:c>
      <x:c r="B89" s="27" t="str">
        <x:v>20</x:v>
      </x:c>
      <x:c r="C89" s="27" t="str">
        <x:v>01</x:v>
      </x:c>
      <x:c r="D89" s="28" t="n">
        <x:v>21081</x:v>
      </x:c>
      <x:c r="E89" s="28" t="n">
        <x:v>2135</x:v>
      </x:c>
      <x:c r="F89" s="28" t="n">
        <x:f>E89/D89</x:f>
        <x:v>0.10127603054883544</x:v>
      </x:c>
      <x:c r="G89" s="28" t="n">
        <x:v>13378</x:v>
      </x:c>
      <x:c r="H89" s="28" t="n">
        <x:f>G89/D89</x:f>
        <x:v>0.6345998766661923</x:v>
      </x:c>
      <x:c r="I89" s="28" t="n">
        <x:v>13860</x:v>
      </x:c>
      <x:c r="J89" s="28" t="n">
        <x:f>I89/D89</x:f>
        <x:v>0.6574640671694891</x:v>
      </x:c>
      <x:c r="K89" s="28" t="n">
        <x:v>6489</x:v>
      </x:c>
      <x:c r="L89" s="28" t="n">
        <x:f>K89/D89</x:f>
        <x:v>0.30781272235662444</x:v>
      </x:c>
      <x:c r="M89" s="28" t="n">
        <x:v>732</x:v>
      </x:c>
    </x:row>
    <x:row r="90">
      <x:c r="A90" s="27" t="str">
        <x:v>02-20-02</x:v>
      </x:c>
      <x:c r="B90" s="27" t="str">
        <x:v>20</x:v>
      </x:c>
      <x:c r="C90" s="27" t="str">
        <x:v>02</x:v>
      </x:c>
      <x:c r="D90" s="28" t="n">
        <x:v>4491</x:v>
      </x:c>
      <x:c r="E90" s="28" t="n">
        <x:v>46</x:v>
      </x:c>
      <x:c r="F90" s="28" t="n">
        <x:f>E90/D90</x:f>
        <x:v>0.010242707637497217</x:v>
      </x:c>
      <x:c r="G90" s="28" t="n">
        <x:v>2746</x:v>
      </x:c>
      <x:c r="H90" s="28" t="n">
        <x:f>G90/D90</x:f>
        <x:v>0.6114451124471164</x:v>
      </x:c>
      <x:c r="I90" s="28" t="n">
        <x:v>2759</x:v>
      </x:c>
      <x:c r="J90" s="28" t="n">
        <x:f>I90/D90</x:f>
        <x:v>0.6143397906924961</x:v>
      </x:c>
      <x:c r="K90" s="28" t="n">
        <x:v>1643</x:v>
      </x:c>
      <x:c r="L90" s="28" t="n">
        <x:f>K90/D90</x:f>
        <x:v>0.36584279670452013</x:v>
      </x:c>
      <x:c r="M90" s="28" t="n">
        <x:v>89</x:v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36" hidden="0" customWidth="1"/>
    <x:col min="4" max="4" width="30" hidden="0" customWidth="1"/>
  </x:cols>
  <x:sheetData>
    <x:row r="1" ht="26" customHeight="1">
      <x:c r="A1" s="26" t="str">
        <x:v>VARIABLES UTILIZADAS DEL CENSO 2024</x:v>
      </x:c>
      <x:c r="B1" s="26"/>
      <x:c r="C1" s="26"/>
      <x:c r="D1" s="26"/>
    </x:row>
    <x:row r="2">
      <x:c r="A2" s="27"/>
      <x:c r="B2" s="27"/>
      <x:c r="C2" s="27"/>
      <x:c r="D2" s="27"/>
    </x:row>
    <x:row r="3">
      <x:c r="A3" s="16" t="str">
        <x:v>Variable</x:v>
      </x:c>
      <x:c r="B3" s="16" t="str">
        <x:v>Descripción</x:v>
      </x:c>
      <x:c r="C3" s="16" t="str">
        <x:v>Códigos usados</x:v>
      </x:c>
      <x:c r="D3" s="16" t="str">
        <x:v>Uso en el resumen</x:v>
      </x:c>
    </x:row>
    <x:row r="4">
      <x:c r="A4" s="27" t="str">
        <x:v>idep</x:v>
      </x:c>
      <x:c r="B4" s="27" t="str">
        <x:v>Código de departamento</x:v>
      </x:c>
      <x:c r="C4" s="27" t="str">
        <x:v>02 = La Paz</x:v>
      </x:c>
      <x:c r="D4" s="27" t="str">
        <x:v>Filtro principal</x:v>
      </x:c>
    </x:row>
    <x:row r="5">
      <x:c r="A5" s="27" t="str">
        <x:v>urbrur</x:v>
      </x:c>
      <x:c r="B5" s="27" t="str">
        <x:v>Área urbana-rural</x:v>
      </x:c>
      <x:c r="C5" s="27" t="str">
        <x:v>1 = Urbana; 2 = Rural</x:v>
      </x:c>
      <x:c r="D5" s="27" t="str">
        <x:v>Comparación por área</x:v>
      </x:c>
    </x:row>
    <x:row r="6">
      <x:c r="A6" s="27" t="str">
        <x:v>v19e_inetfijo</x:v>
      </x:c>
      <x:c r="B6" s="27" t="str">
        <x:v>Internet fijo en la vivienda</x:v>
      </x:c>
      <x:c r="C6" s="27" t="str">
        <x:v>1 = Sí; 2 = No; 9 = Sin especificar</x:v>
      </x:c>
      <x:c r="D6" s="27" t="str">
        <x:v>Métrica de internet fijo</x:v>
      </x:c>
    </x:row>
    <x:row r="7">
      <x:c r="A7" s="27" t="str">
        <x:v>v19f_inetmovil</x:v>
      </x:c>
      <x:c r="B7" s="27" t="str">
        <x:v>Internet móvil (megas o datos)</x:v>
      </x:c>
      <x:c r="C7" s="27" t="str">
        <x:v>1 = Sí; 2 = No; 9 = Sin especificar</x:v>
      </x:c>
      <x:c r="D7" s="27" t="str">
        <x:v>Métrica de internet móvil</x:v>
      </x:c>
    </x:row>
    <x:row r="8">
      <x:c r="A8" s="27" t="str">
        <x:v>v19e_f</x:v>
      </x:c>
      <x:c r="B8" s="27" t="str">
        <x:v>Internet fijo en la vivienda o internet móvil</x:v>
      </x:c>
      <x:c r="C8" s="27" t="str">
        <x:v>1 = Sí; 2 = No; 9 = Sin especificar</x:v>
      </x:c>
      <x:c r="D8" s="27" t="str">
        <x:v>Métrica principal combinada</x:v>
      </x:c>
    </x:row>
    <x:row r="9">
      <x:c r="A9" s="27"/>
      <x:c r="B9" s="27"/>
      <x:c r="C9" s="27"/>
      <x:c r="D9" s="27"/>
    </x:row>
    <x:row r="10">
      <x:c r="A10" s="30" t="str">
        <x:v>Criterio de depuración</x:v>
      </x:c>
      <x:c r="B10" s="30" t="str"/>
      <x:c r="C10" s="30" t="str"/>
      <x:c r="D10" s="30" t="str"/>
    </x:row>
    <x:row r="11">
      <x:c r="A11" s="27" t="str">
        <x:v>Base válida</x:v>
      </x:c>
      <x:c r="B11" s="27" t="str">
        <x:v>Se incluyen registros de La Paz donde internet fijo y móvil tienen código 1, 2 o 9.</x:v>
      </x:c>
      <x:c r="C11" s="27" t="str"/>
      <x:c r="D11" s="27" t="str"/>
    </x:row>
    <x:row r="12">
      <x:c r="A12" s="27" t="str">
        <x:v>Exclusión</x:v>
      </x:c>
      <x:c r="B12" s="27" t="str">
        <x:v>Se excluyen filas con campos de internet vacíos para no contarlas erróneamente como 'No'.</x:v>
      </x:c>
      <x:c r="C12" s="27" t="str"/>
      <x:c r="D12" s="27" t="str"/>
    </x:row>
  </x:sheetData>
  <x:mergeCells>
    <x:mergeCell ref="A1:D1"/>
    <x:mergeCell ref="A10:D10"/>
    <x:mergeCell ref="B11:D11"/>
    <x:mergeCell ref="B12:D12"/>
  </x:mergeCells>
  <x:pageMargins left="0.7" right="0.7" top="0.75" bottom="0.75" header="0.3" footer="0.3"/>
</x:worksheet>
</file>